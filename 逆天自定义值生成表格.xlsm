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opowe\WorldEdit v1.2.9c\"/>
    </mc:Choice>
  </mc:AlternateContent>
  <xr:revisionPtr revIDLastSave="0" documentId="13_ncr:1_{5A88EDE6-1EBB-449C-BCC6-DF8B7A16E428}" xr6:coauthVersionLast="47" xr6:coauthVersionMax="47" xr10:uidLastSave="{00000000-0000-0000-0000-000000000000}"/>
  <bookViews>
    <workbookView xWindow="-28920" yWindow="-120" windowWidth="29040" windowHeight="15840" tabRatio="592" activeTab="3" xr2:uid="{00000000-000D-0000-FFFF-FFFF00000000}"/>
  </bookViews>
  <sheets>
    <sheet name="简述" sheetId="3" r:id="rId1"/>
    <sheet name="职业数据" sheetId="17" r:id="rId2"/>
    <sheet name="药水参数" sheetId="37" r:id="rId3"/>
    <sheet name="无尽狂潮" sheetId="38" r:id="rId4"/>
    <sheet name="ZXRW" sheetId="34" r:id="rId5"/>
  </sheets>
  <functionGroups builtInGroupCount="19"/>
  <definedNames>
    <definedName name="orders">#REF!</definedName>
    <definedName name="导出路径">简述!$B$2</definedName>
    <definedName name="导入旧表">简述!#REF!</definedName>
    <definedName name="选择路径">简述!#REF!</definedName>
  </definedNames>
  <calcPr calcId="191029"/>
</workbook>
</file>

<file path=xl/calcChain.xml><?xml version="1.0" encoding="utf-8"?>
<calcChain xmlns="http://schemas.openxmlformats.org/spreadsheetml/2006/main">
  <c r="G4" i="38" l="1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G130" i="38"/>
  <c r="G131" i="38"/>
  <c r="G132" i="38"/>
  <c r="G133" i="38"/>
  <c r="G134" i="38"/>
  <c r="G135" i="38"/>
  <c r="G136" i="38"/>
  <c r="G137" i="38"/>
  <c r="G138" i="38"/>
  <c r="G139" i="38"/>
  <c r="G140" i="38"/>
  <c r="G141" i="38"/>
  <c r="G142" i="38"/>
  <c r="G143" i="38"/>
  <c r="G144" i="38"/>
  <c r="G145" i="38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G159" i="38"/>
  <c r="G160" i="38"/>
  <c r="G161" i="38"/>
  <c r="G162" i="38"/>
  <c r="G163" i="38"/>
  <c r="G164" i="38"/>
  <c r="G165" i="38"/>
  <c r="G166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3" i="38"/>
  <c r="J3" i="37"/>
  <c r="C6" i="3"/>
  <c r="AY7" i="34"/>
  <c r="AY8" i="34"/>
  <c r="AY9" i="34"/>
  <c r="AY10" i="34"/>
  <c r="AY11" i="34"/>
  <c r="AY12" i="34"/>
  <c r="AY13" i="34"/>
  <c r="AY14" i="34"/>
  <c r="AY15" i="34"/>
  <c r="AY16" i="34"/>
  <c r="AY17" i="34" s="1"/>
  <c r="AY18" i="34" s="1"/>
  <c r="AY19" i="34" s="1"/>
  <c r="AY20" i="34" s="1"/>
  <c r="AY21" i="34" s="1"/>
  <c r="AY22" i="34" s="1"/>
  <c r="AY23" i="34" s="1"/>
  <c r="AY24" i="34" s="1"/>
  <c r="AY25" i="34" s="1"/>
  <c r="AY26" i="34" s="1"/>
  <c r="AY27" i="34" s="1"/>
  <c r="AY28" i="34" s="1"/>
  <c r="AY29" i="34" s="1"/>
  <c r="AY30" i="34" s="1"/>
  <c r="AY31" i="34" s="1"/>
  <c r="AY32" i="34" s="1"/>
  <c r="AY33" i="34" s="1"/>
  <c r="AY34" i="34" s="1"/>
  <c r="AY35" i="34" s="1"/>
  <c r="AY36" i="34" s="1"/>
  <c r="AY37" i="34" s="1"/>
  <c r="AY38" i="34" s="1"/>
  <c r="AY39" i="34"/>
  <c r="AY40" i="34" s="1"/>
  <c r="AY41" i="34" s="1"/>
  <c r="AY42" i="34" s="1"/>
  <c r="AY43" i="34" s="1"/>
  <c r="AY44" i="34" s="1"/>
  <c r="AY45" i="34" s="1"/>
  <c r="AY46" i="34" s="1"/>
  <c r="AY47" i="34" s="1"/>
  <c r="AY48" i="34" s="1"/>
  <c r="AY49" i="34" s="1"/>
  <c r="AY50" i="34" s="1"/>
  <c r="AY51" i="34"/>
  <c r="AY52" i="34" s="1"/>
  <c r="AY53" i="34" s="1"/>
  <c r="AY54" i="34" s="1"/>
  <c r="AY55" i="34" s="1"/>
  <c r="AY56" i="34" s="1"/>
  <c r="AY57" i="34" s="1"/>
  <c r="AY58" i="34" s="1"/>
  <c r="AY59" i="34" s="1"/>
  <c r="AY60" i="34" s="1"/>
  <c r="AY61" i="34" s="1"/>
  <c r="AY62" i="34" s="1"/>
</calcChain>
</file>

<file path=xl/sharedStrings.xml><?xml version="1.0" encoding="utf-8"?>
<sst xmlns="http://schemas.openxmlformats.org/spreadsheetml/2006/main" count="1290" uniqueCount="620">
  <si>
    <t>重要项不可删除</t>
  </si>
  <si>
    <t>导出路径</t>
  </si>
  <si>
    <t>Ctrl+Q</t>
  </si>
  <si>
    <t>弹出工具栏</t>
  </si>
  <si>
    <t>Ctrl+W</t>
  </si>
  <si>
    <t>根据上一格子ID生成新ID</t>
  </si>
  <si>
    <t>例：</t>
  </si>
  <si>
    <t>A000</t>
  </si>
  <si>
    <t>A000是手输ID，A001是Ctrl+W生成的</t>
  </si>
  <si>
    <t>MapLevel与Soldiers为两个例子</t>
  </si>
  <si>
    <t>逆天自定义值的获取，对应数据类型获取，方法如图</t>
  </si>
  <si>
    <t>逆天自定义值的主索引可由全局变量代替，方法如图</t>
  </si>
  <si>
    <t>“注释”：单独列注释，可以放在key表左侧，如图</t>
  </si>
  <si>
    <t>“#”：key表的注释，如图</t>
  </si>
  <si>
    <t>key</t>
  </si>
  <si>
    <t>real</t>
  </si>
  <si>
    <t>护甲</t>
  </si>
  <si>
    <t>金币加成</t>
  </si>
  <si>
    <t>杀敌加成</t>
  </si>
  <si>
    <t>掉宝概率</t>
  </si>
  <si>
    <t>额外金币</t>
  </si>
  <si>
    <t>每秒金币</t>
  </si>
  <si>
    <t>每秒杀敌</t>
  </si>
  <si>
    <t>杀敌攻击</t>
  </si>
  <si>
    <t>杀敌生命</t>
  </si>
  <si>
    <t>杀敌敏捷</t>
  </si>
  <si>
    <t>杀敌力量</t>
  </si>
  <si>
    <t>杀敌智力</t>
  </si>
  <si>
    <t>攻击生命</t>
  </si>
  <si>
    <t>攻击敏捷</t>
  </si>
  <si>
    <t>攻击力量</t>
  </si>
  <si>
    <t>攻击智力</t>
  </si>
  <si>
    <t>每秒攻击</t>
  </si>
  <si>
    <t>每秒生命</t>
  </si>
  <si>
    <t>每秒敏捷</t>
  </si>
  <si>
    <t>每秒力量</t>
  </si>
  <si>
    <t>每秒智力</t>
  </si>
  <si>
    <t>物理暴击</t>
  </si>
  <si>
    <t>法术暴击</t>
  </si>
  <si>
    <t>物理暴伤</t>
  </si>
  <si>
    <t>法术暴伤</t>
  </si>
  <si>
    <t>物理伤害</t>
  </si>
  <si>
    <t>法术伤害</t>
  </si>
  <si>
    <t>攻击速度</t>
  </si>
  <si>
    <t>全能吸血</t>
  </si>
  <si>
    <t>攻击间隔</t>
  </si>
  <si>
    <t>攻击分裂</t>
  </si>
  <si>
    <t>闪避</t>
  </si>
  <si>
    <t>攻击减甲</t>
  </si>
  <si>
    <t>生命回复</t>
  </si>
  <si>
    <t>攻击</t>
  </si>
  <si>
    <t>生命</t>
  </si>
  <si>
    <t>名字</t>
  </si>
  <si>
    <t>全局变量</t>
  </si>
  <si>
    <t>值</t>
  </si>
  <si>
    <t>string</t>
  </si>
  <si>
    <t>标签</t>
  </si>
  <si>
    <t>图标</t>
  </si>
  <si>
    <t>文本标签</t>
  </si>
  <si>
    <t>文本</t>
  </si>
  <si>
    <t>说明标签</t>
  </si>
  <si>
    <t>说明</t>
  </si>
  <si>
    <t>Tip</t>
  </si>
  <si>
    <t>icon</t>
  </si>
  <si>
    <t>主线任务</t>
  </si>
  <si>
    <t>三围</t>
  </si>
  <si>
    <t>职业属性</t>
  </si>
  <si>
    <t>最终伤害</t>
  </si>
  <si>
    <t>伤害减免</t>
  </si>
  <si>
    <t>攻击攻击</t>
  </si>
  <si>
    <t>主线任务1</t>
  </si>
  <si>
    <t>主线任务1-1</t>
  </si>
  <si>
    <t>BTNCrystalBall.blp</t>
  </si>
  <si>
    <t>[拔剑试炼]</t>
  </si>
  <si>
    <t>- 全属性+100
- 伤害减免+2%</t>
  </si>
  <si>
    <t>[任务描述]</t>
  </si>
  <si>
    <t>将剑拔出，站在剑台上5秒</t>
  </si>
  <si>
    <t>任务的完成可以让你获取到必要的能力去进行游戏</t>
  </si>
  <si>
    <t>ZXRW</t>
  </si>
  <si>
    <t>主线任务2</t>
  </si>
  <si>
    <t>主线任务1-2</t>
  </si>
  <si>
    <t>[初步尝试]</t>
  </si>
  <si>
    <t>- 全属性+300
- 攻击速度+10%</t>
  </si>
  <si>
    <t>练剑，攻击木桩10次</t>
  </si>
  <si>
    <t>主线任务3</t>
  </si>
  <si>
    <t>主线任务1-3</t>
  </si>
  <si>
    <t>- 全属性+500
- 攻击分裂+10%</t>
  </si>
  <si>
    <t>收集地面上的10本散落的秘籍</t>
  </si>
  <si>
    <t>主线任务4</t>
  </si>
  <si>
    <t>主线任务1-4</t>
  </si>
  <si>
    <t>[初次尝试]</t>
  </si>
  <si>
    <t>- 生命+5000
- 物理伤害+10%</t>
  </si>
  <si>
    <t>击杀森林中的5只野猪</t>
  </si>
  <si>
    <t>主线任务5</t>
  </si>
  <si>
    <t>主线任务1-5</t>
  </si>
  <si>
    <t>[危机来临]</t>
  </si>
  <si>
    <t>- 攻击+1000
- 法术伤害+10%</t>
  </si>
  <si>
    <t>击杀森林中的1只猪王</t>
  </si>
  <si>
    <t>主线任务6</t>
  </si>
  <si>
    <t>主线任务1-6</t>
  </si>
  <si>
    <t>[向村长复命]</t>
  </si>
  <si>
    <t>- 全属性+1000
- 全能吸血+2%</t>
  </si>
  <si>
    <t>与村长进行对话后，击杀1只老虎</t>
  </si>
  <si>
    <t>主线任务7</t>
  </si>
  <si>
    <t>主线任务1-7</t>
  </si>
  <si>
    <t>[遭遇强盗-1]</t>
  </si>
  <si>
    <t>- 攻击暴击+2%
- 物理暴伤+10%</t>
  </si>
  <si>
    <t>击杀10名强盗</t>
  </si>
  <si>
    <t>主线任务8</t>
  </si>
  <si>
    <t>主线任务1-8</t>
  </si>
  <si>
    <t>[遭遇强盗-2]</t>
  </si>
  <si>
    <t>- 技能暴击+2%
- 法术暴伤+10%</t>
  </si>
  <si>
    <t>击杀1名强盗首领</t>
  </si>
  <si>
    <t>主线任务9</t>
  </si>
  <si>
    <t>主线任务1-9</t>
  </si>
  <si>
    <t>[获取装备]</t>
  </si>
  <si>
    <t>- 攻击减甲+10
- 护甲+20</t>
  </si>
  <si>
    <t>击杀村子附近的1只魔化史莱姆</t>
  </si>
  <si>
    <t>主线任务10</t>
  </si>
  <si>
    <t>主线任务1-10</t>
  </si>
  <si>
    <t>[开始冒险]</t>
  </si>
  <si>
    <t>- 最终伤害+5%
- 全属性+1500
- 生命+10000
- 攻击力+2000</t>
  </si>
  <si>
    <t>击杀矿石怪获得铁锭</t>
  </si>
  <si>
    <t>主线任务11</t>
  </si>
  <si>
    <t>主线任务2-1</t>
  </si>
  <si>
    <t>[遭遇强盗-3]</t>
  </si>
  <si>
    <t>- 全属性+2000
- 伤害减免+3%</t>
  </si>
  <si>
    <t>击杀20名强盗精英</t>
  </si>
  <si>
    <t>主线任务12</t>
  </si>
  <si>
    <t>主线任务2-2</t>
  </si>
  <si>
    <t>[前往王城]</t>
  </si>
  <si>
    <t>- 全属性+5000
- 攻击速度+20%</t>
  </si>
  <si>
    <t>到达王城传送点</t>
  </si>
  <si>
    <t>主线任务13</t>
  </si>
  <si>
    <t>主线任务2-3</t>
  </si>
  <si>
    <t>[王国试炼]</t>
  </si>
  <si>
    <t>- 全属性+8000
- 攻击分裂+20%</t>
  </si>
  <si>
    <t>击杀3个魔化怪物</t>
  </si>
  <si>
    <t>主线任务14</t>
  </si>
  <si>
    <t>主线任务2-4</t>
  </si>
  <si>
    <t>[获取圣水]</t>
  </si>
  <si>
    <t>- 生命+50000
- 物理伤害+20%</t>
  </si>
  <si>
    <t>打败守护圣水的怪物</t>
  </si>
  <si>
    <t>主线任务15</t>
  </si>
  <si>
    <t>主线任务2-5</t>
  </si>
  <si>
    <t>[赐福]</t>
  </si>
  <si>
    <t>- 攻击+10000
- 法术伤害+20%</t>
  </si>
  <si>
    <t>打败守卫</t>
  </si>
  <si>
    <t>主线任务16</t>
  </si>
  <si>
    <t>主线任务2-6</t>
  </si>
  <si>
    <t>[消灭魔王-1]</t>
  </si>
  <si>
    <t>- 全属性+10000
- 全能吸血+3%</t>
  </si>
  <si>
    <t>消灭5只魔化怪物</t>
  </si>
  <si>
    <t>主线任务17</t>
  </si>
  <si>
    <t>主线任务2-7</t>
  </si>
  <si>
    <t>[消灭魔王-2]</t>
  </si>
  <si>
    <t>- 攻击暴击+3%
- 物理暴伤+20%</t>
  </si>
  <si>
    <t>消灭10只魔化怪物</t>
  </si>
  <si>
    <t>主线任务18</t>
  </si>
  <si>
    <t>主线任务2-8</t>
  </si>
  <si>
    <t>[消灭魔王-3]</t>
  </si>
  <si>
    <t>- 技能暴击+3%
- 法术暴伤+20%</t>
  </si>
  <si>
    <t>消灭1只精英魔化怪物</t>
  </si>
  <si>
    <t>主线任务19</t>
  </si>
  <si>
    <t>主线任务2-9</t>
  </si>
  <si>
    <t>[邪恶组织-1]</t>
  </si>
  <si>
    <t>- 攻击减甲+20
- 护甲+30</t>
  </si>
  <si>
    <t>消灭20个流氓</t>
  </si>
  <si>
    <t>主线任务20</t>
  </si>
  <si>
    <t>主线任务2-10</t>
  </si>
  <si>
    <t>[邪恶组织-2]</t>
  </si>
  <si>
    <t>- 最终伤害+10%
- 全属性+12000
- 生命+100000
- 攻击力+20000</t>
  </si>
  <si>
    <t>消灭10个邪恶组织精英</t>
  </si>
  <si>
    <t>主线任务21</t>
  </si>
  <si>
    <t>主线任务3-1</t>
  </si>
  <si>
    <t>[消灭魔王-4]</t>
  </si>
  <si>
    <t>- 全属性+15000
- 伤害减免+4%</t>
  </si>
  <si>
    <t>消灭5只精英魔化怪物</t>
  </si>
  <si>
    <t>主线任务22</t>
  </si>
  <si>
    <t>主线任务3-2</t>
  </si>
  <si>
    <t>[面见国王]</t>
  </si>
  <si>
    <t>- 全属性+20000
- 攻击速度+30%</t>
  </si>
  <si>
    <t>打败妖兽，获得妖丹</t>
  </si>
  <si>
    <t>主线任务23</t>
  </si>
  <si>
    <t>主线任务3-3</t>
  </si>
  <si>
    <t>[邪恶组织-3]</t>
  </si>
  <si>
    <t>- 全属性+25000
- 攻击分裂+30%</t>
  </si>
  <si>
    <t>消灭邪恶组织小头目</t>
  </si>
  <si>
    <t>主线任务24</t>
  </si>
  <si>
    <t>主线任务3-4</t>
  </si>
  <si>
    <t>[邪恶组织-4]</t>
  </si>
  <si>
    <t>- 生命+200000
- 物理伤害+30%</t>
  </si>
  <si>
    <t>消灭邪恶组织头目与20名精英</t>
  </si>
  <si>
    <t>主线任务25</t>
  </si>
  <si>
    <t>主线任务3-5</t>
  </si>
  <si>
    <t>[邪恶组织-5]</t>
  </si>
  <si>
    <t>- 攻击+40000
- 法术伤害+30%</t>
  </si>
  <si>
    <t>消灭邪恶组织4大首领</t>
  </si>
  <si>
    <t>主线任务26</t>
  </si>
  <si>
    <t>主线任务3-6</t>
  </si>
  <si>
    <t>[邪恶组织-6]</t>
  </si>
  <si>
    <t>- 全属性+30000
- 全能吸血+4%</t>
  </si>
  <si>
    <t>消灭邪恶组织领袖</t>
  </si>
  <si>
    <t>主线任务27</t>
  </si>
  <si>
    <t>主线任务3-7</t>
  </si>
  <si>
    <t>[生与死]</t>
  </si>
  <si>
    <t>- 攻击暴击+4%
- 物理暴伤+30%</t>
  </si>
  <si>
    <t>打破梦境结界</t>
  </si>
  <si>
    <t>主线任务28</t>
  </si>
  <si>
    <t>主线任务3-8</t>
  </si>
  <si>
    <t>- 技能暴击+4%
- 法术暴伤+30%</t>
  </si>
  <si>
    <t>消灭1只领主级魔化怪物</t>
  </si>
  <si>
    <t>主线任务29</t>
  </si>
  <si>
    <t>主线任务3-9</t>
  </si>
  <si>
    <t>[消灭魔王-5]</t>
  </si>
  <si>
    <t>- 攻击减甲+30
- 护甲+40</t>
  </si>
  <si>
    <t>消灭1只深渊级魔化怪物</t>
  </si>
  <si>
    <t>主线任务30</t>
  </si>
  <si>
    <t>主线任务3-10</t>
  </si>
  <si>
    <t>[消灭魔王-6]</t>
  </si>
  <si>
    <t>- 最终伤害+20%
- 全属性+35000
- 生命+400000
- 攻击力+80000</t>
  </si>
  <si>
    <t>消灭魔王座下第10魔将</t>
  </si>
  <si>
    <t>主线任务31</t>
  </si>
  <si>
    <t>主线任务4-1</t>
  </si>
  <si>
    <t>[消灭魔王-7]</t>
  </si>
  <si>
    <t>- 全属性+40000
- 伤害减免+5%</t>
  </si>
  <si>
    <t>消灭魔王座下第9魔将</t>
  </si>
  <si>
    <t>主线任务32</t>
  </si>
  <si>
    <t>主线任务4-2</t>
  </si>
  <si>
    <t>[消灭魔王-8]</t>
  </si>
  <si>
    <t>- 全属性+48000
- 攻击速度+40%</t>
  </si>
  <si>
    <t>消灭魔王座下第8魔将</t>
  </si>
  <si>
    <t>主线任务33</t>
  </si>
  <si>
    <t>主线任务4-3</t>
  </si>
  <si>
    <t>[消灭魔王-9]</t>
  </si>
  <si>
    <t>- 全属性+55000
- 攻击分裂+40%</t>
  </si>
  <si>
    <t>消灭魔王座下第7魔将</t>
  </si>
  <si>
    <t>主线任务34</t>
  </si>
  <si>
    <t>主线任务4-4</t>
  </si>
  <si>
    <t>[消灭魔王-10]</t>
  </si>
  <si>
    <t>- 生命+800000
- 物理伤害+40%</t>
  </si>
  <si>
    <t>消灭魔王座下第6魔将</t>
  </si>
  <si>
    <t>主线任务35</t>
  </si>
  <si>
    <t>主线任务4-5</t>
  </si>
  <si>
    <t>[消灭魔王-11]</t>
  </si>
  <si>
    <t>- 攻击+160000
- 法术伤害+40%</t>
  </si>
  <si>
    <t>消灭魔王座下第5魔将</t>
  </si>
  <si>
    <t>主线任务36</t>
  </si>
  <si>
    <t>主线任务4-6</t>
  </si>
  <si>
    <t>[消灭魔王-12]</t>
  </si>
  <si>
    <t>- 全属性+60000
- 全能吸血+5%</t>
  </si>
  <si>
    <t>消灭魔王座下第4魔将</t>
  </si>
  <si>
    <t>主线任务37</t>
  </si>
  <si>
    <t>主线任务4-7</t>
  </si>
  <si>
    <t>[消灭魔王-13]</t>
  </si>
  <si>
    <t>- 攻击暴击+5%
- 物理暴伤+40%</t>
  </si>
  <si>
    <t>消灭魔王座下第3魔将</t>
  </si>
  <si>
    <t>主线任务38</t>
  </si>
  <si>
    <t>主线任务4-8</t>
  </si>
  <si>
    <t>[消灭魔王-14]</t>
  </si>
  <si>
    <t>- 技能暴击+5%
- 法术暴伤+40%</t>
  </si>
  <si>
    <t>消灭魔王座下第2魔将</t>
  </si>
  <si>
    <t>主线任务39</t>
  </si>
  <si>
    <t>主线任务4-9</t>
  </si>
  <si>
    <t>[消灭魔王-15]</t>
  </si>
  <si>
    <t>- 攻击减甲+40
- 护甲+50</t>
  </si>
  <si>
    <t>消灭魔王座下第1魔将</t>
  </si>
  <si>
    <t>主线任务40</t>
  </si>
  <si>
    <t>主线任务4-10</t>
  </si>
  <si>
    <t>[消灭魔王-16]</t>
  </si>
  <si>
    <t>- 最终伤害+30%
- 全属性+65000
- 生命+1300000
- 攻击力+250000</t>
  </si>
  <si>
    <t>消灭魔王座下第4魔帅</t>
  </si>
  <si>
    <t>主线任务41</t>
  </si>
  <si>
    <t>主线任务5-1</t>
  </si>
  <si>
    <t>[消灭魔王-17]</t>
  </si>
  <si>
    <t>- 全属性+70000
- 伤害减免+6%</t>
  </si>
  <si>
    <t>消灭魔王座下第3魔帅</t>
  </si>
  <si>
    <t>主线任务42</t>
  </si>
  <si>
    <t>主线任务5-2</t>
  </si>
  <si>
    <t>[消灭魔王-18]</t>
  </si>
  <si>
    <t>- 全属性+80000
- 攻击速度+50%</t>
  </si>
  <si>
    <t>消灭魔王座下第2魔帅</t>
  </si>
  <si>
    <t>主线任务43</t>
  </si>
  <si>
    <t>主线任务5-3</t>
  </si>
  <si>
    <t>[消灭魔王-19]</t>
  </si>
  <si>
    <t>- 全属性+90000
- 攻击分裂+50%</t>
  </si>
  <si>
    <t>消灭魔王座下第1魔帅</t>
  </si>
  <si>
    <t>主线任务44</t>
  </si>
  <si>
    <t>主线任务5-4</t>
  </si>
  <si>
    <t>[教皇真身]</t>
  </si>
  <si>
    <t>- 生命+2000000
- 物理伤害+50%</t>
  </si>
  <si>
    <t>击杀圣教祭祀</t>
  </si>
  <si>
    <t>主线任务45</t>
  </si>
  <si>
    <t>主线任务5-5</t>
  </si>
  <si>
    <t>[推翻圣教-1]</t>
  </si>
  <si>
    <t>- 攻击+400000
- 法术伤害+50%</t>
  </si>
  <si>
    <t>击杀10个圣教修女</t>
  </si>
  <si>
    <t>主线任务46</t>
  </si>
  <si>
    <t>主线任务5-6</t>
  </si>
  <si>
    <t>[推翻圣教-2]</t>
  </si>
  <si>
    <t>- 全属性+100000
- 全能吸血+6%</t>
  </si>
  <si>
    <t>击杀5个圣教修士</t>
  </si>
  <si>
    <t>主线任务47</t>
  </si>
  <si>
    <t>主线任务5-7</t>
  </si>
  <si>
    <t>[推翻圣教-3]</t>
  </si>
  <si>
    <t>- 攻击暴击+6%
- 物理暴伤+50%</t>
  </si>
  <si>
    <t>击杀1个圣教神父</t>
  </si>
  <si>
    <t>主线任务48</t>
  </si>
  <si>
    <t>主线任务5-8</t>
  </si>
  <si>
    <t>[推翻圣教-4]</t>
  </si>
  <si>
    <t>- 技能暴击+6%
- 法术暴伤+50%</t>
  </si>
  <si>
    <t>击杀20个圣教执事</t>
  </si>
  <si>
    <t>主线任务49</t>
  </si>
  <si>
    <t>主线任务5-9</t>
  </si>
  <si>
    <t>[推翻圣教-5]</t>
  </si>
  <si>
    <t>- 攻击减甲+50
- 护甲+60</t>
  </si>
  <si>
    <t>击杀5个圣教骑士</t>
  </si>
  <si>
    <t>主线任务50</t>
  </si>
  <si>
    <t>主线任务5-10</t>
  </si>
  <si>
    <t>[推翻圣教-6]</t>
  </si>
  <si>
    <t>- 最终伤害+40%
- 全属性+110000
- 生命+3500000
- 攻击力+700000</t>
  </si>
  <si>
    <t>击杀1个圣教骑士长</t>
  </si>
  <si>
    <t>主线任务51</t>
  </si>
  <si>
    <t>主线任务6-1</t>
  </si>
  <si>
    <t>[推翻圣教-7]</t>
  </si>
  <si>
    <t>- 全属性+115000
- 伤害减免+7%</t>
  </si>
  <si>
    <t>击杀1个圣教主教</t>
  </si>
  <si>
    <t>主线任务52</t>
  </si>
  <si>
    <t>主线任务6-2</t>
  </si>
  <si>
    <t>[推翻圣教-8]</t>
  </si>
  <si>
    <t>- 全属性+130000
- 攻击速度+60%</t>
  </si>
  <si>
    <t>击杀1个圣教首主教</t>
  </si>
  <si>
    <t>主线任务53</t>
  </si>
  <si>
    <t>主线任务6-3</t>
  </si>
  <si>
    <t>[推翻圣教-9]</t>
  </si>
  <si>
    <t>- 全属性+145000
- 攻击分裂+60%</t>
  </si>
  <si>
    <t>击杀1个圣教都主教</t>
  </si>
  <si>
    <t>主线任务54</t>
  </si>
  <si>
    <t>主线任务6-4</t>
  </si>
  <si>
    <t>[推翻圣教-10]</t>
  </si>
  <si>
    <t>- 生命+5000000
- 物理伤害+60%</t>
  </si>
  <si>
    <t>击杀1个圣教宗主教</t>
  </si>
  <si>
    <t>主线任务55</t>
  </si>
  <si>
    <t>主线任务6-5</t>
  </si>
  <si>
    <t>[推翻圣教-11]</t>
  </si>
  <si>
    <t>- 攻击+1000000
- 法术伤害+60%</t>
  </si>
  <si>
    <t>击杀1个第4红衣主教</t>
  </si>
  <si>
    <t>主线任务56</t>
  </si>
  <si>
    <t>主线任务6-6</t>
  </si>
  <si>
    <t>[推翻圣教-12]</t>
  </si>
  <si>
    <t>- 全属性+160000
- 全能吸血+7%</t>
  </si>
  <si>
    <t>击杀1个第3红衣主教</t>
  </si>
  <si>
    <t>主线任务57</t>
  </si>
  <si>
    <t>主线任务6-7</t>
  </si>
  <si>
    <t>[推翻圣教-13]</t>
  </si>
  <si>
    <t>- 攻击暴击+7%
- 物理暴伤+70%</t>
  </si>
  <si>
    <t>击杀1个第2红衣主教</t>
  </si>
  <si>
    <t>主线任务58</t>
  </si>
  <si>
    <t>主线任务6-8</t>
  </si>
  <si>
    <t>[推翻圣教-14]</t>
  </si>
  <si>
    <t>- 技能暴击+7%
- 法术暴伤+70%</t>
  </si>
  <si>
    <t>击杀1个第1红衣主教</t>
  </si>
  <si>
    <t>主线任务59</t>
  </si>
  <si>
    <t>主线任务6-9</t>
  </si>
  <si>
    <t>[推翻圣教-15]</t>
  </si>
  <si>
    <t>- 攻击减甲+60
- 护甲+70</t>
  </si>
  <si>
    <t>击杀1个枢机主教</t>
  </si>
  <si>
    <t>主线任务60</t>
  </si>
  <si>
    <t>主线任务6-10</t>
  </si>
  <si>
    <t>[推翻圣教-16]</t>
  </si>
  <si>
    <t>- 最终伤害+50%
- 全属性+200000
- 生命+10000000
- 攻击力+2000000</t>
  </si>
  <si>
    <t>击杀1个教皇（魔王）</t>
  </si>
  <si>
    <t>[收集秘籍]</t>
    <phoneticPr fontId="15" type="noConversion"/>
  </si>
  <si>
    <t>h009</t>
    <phoneticPr fontId="16" type="noConversion"/>
  </si>
  <si>
    <t>任务怪</t>
    <phoneticPr fontId="15" type="noConversion"/>
  </si>
  <si>
    <t>integer</t>
    <phoneticPr fontId="15" type="noConversion"/>
  </si>
  <si>
    <t>颜色字体可自带颜色代码</t>
    <phoneticPr fontId="15" type="noConversion"/>
  </si>
  <si>
    <t>G:\传奇\obj\</t>
    <phoneticPr fontId="15" type="noConversion"/>
  </si>
  <si>
    <t>hero01</t>
    <phoneticPr fontId="16" type="noConversion"/>
  </si>
  <si>
    <t>战士</t>
    <phoneticPr fontId="16" type="noConversion"/>
  </si>
  <si>
    <t>法师</t>
    <phoneticPr fontId="16" type="noConversion"/>
  </si>
  <si>
    <t>道士</t>
    <phoneticPr fontId="16" type="noConversion"/>
  </si>
  <si>
    <t>单位类型</t>
    <phoneticPr fontId="16" type="noConversion"/>
  </si>
  <si>
    <t>integer</t>
    <phoneticPr fontId="16" type="noConversion"/>
  </si>
  <si>
    <t>H000</t>
    <phoneticPr fontId="16" type="noConversion"/>
  </si>
  <si>
    <t>H001</t>
    <phoneticPr fontId="16" type="noConversion"/>
  </si>
  <si>
    <t>H002</t>
    <phoneticPr fontId="16" type="noConversion"/>
  </si>
  <si>
    <t>real</t>
    <phoneticPr fontId="16" type="noConversion"/>
  </si>
  <si>
    <t>法力上限</t>
    <phoneticPr fontId="16" type="noConversion"/>
  </si>
  <si>
    <t>体力上限</t>
    <phoneticPr fontId="16" type="noConversion"/>
  </si>
  <si>
    <t>体力因子</t>
    <phoneticPr fontId="16" type="noConversion"/>
  </si>
  <si>
    <t>法力因子</t>
    <phoneticPr fontId="16" type="noConversion"/>
  </si>
  <si>
    <t>yscs</t>
    <phoneticPr fontId="16" type="noConversion"/>
  </si>
  <si>
    <t>金疮药</t>
  </si>
  <si>
    <t>太阳水(小)</t>
  </si>
  <si>
    <t>太阳水(大)</t>
  </si>
  <si>
    <t>强效太阳水</t>
  </si>
  <si>
    <t>万年雪霜</t>
  </si>
  <si>
    <t>千年灵芝</t>
  </si>
  <si>
    <t>百年人参</t>
  </si>
  <si>
    <t>十年当归</t>
  </si>
  <si>
    <t>疗伤药(小)</t>
  </si>
  <si>
    <t>疗伤药(大)</t>
  </si>
  <si>
    <t>强效疗伤药</t>
  </si>
  <si>
    <t>九花玉露</t>
  </si>
  <si>
    <t>八仙豆腐</t>
  </si>
  <si>
    <t>七叶茴香</t>
  </si>
  <si>
    <t>六方地黄</t>
  </si>
  <si>
    <t>五转还魂</t>
  </si>
  <si>
    <t>四海清露</t>
  </si>
  <si>
    <t>天青麝香</t>
  </si>
  <si>
    <t>YSLX</t>
    <phoneticPr fontId="16" type="noConversion"/>
  </si>
  <si>
    <t>药水容量</t>
    <phoneticPr fontId="16" type="noConversion"/>
  </si>
  <si>
    <t>充能金币</t>
    <phoneticPr fontId="16" type="noConversion"/>
  </si>
  <si>
    <t>体力恢复</t>
    <phoneticPr fontId="16" type="noConversion"/>
  </si>
  <si>
    <t>法力恢复</t>
    <phoneticPr fontId="16" type="noConversion"/>
  </si>
  <si>
    <t>升级金币</t>
    <phoneticPr fontId="16" type="noConversion"/>
  </si>
  <si>
    <t>等级需求</t>
    <phoneticPr fontId="16" type="noConversion"/>
  </si>
  <si>
    <t>HERO</t>
    <phoneticPr fontId="16" type="noConversion"/>
  </si>
  <si>
    <t>WJKC</t>
    <phoneticPr fontId="15" type="noConversion"/>
  </si>
  <si>
    <t>无尽狂潮1</t>
    <phoneticPr fontId="15" type="noConversion"/>
  </si>
  <si>
    <t>无尽狂潮2</t>
  </si>
  <si>
    <t>无尽狂潮3</t>
  </si>
  <si>
    <t>无尽狂潮4</t>
  </si>
  <si>
    <t>无尽狂潮5</t>
  </si>
  <si>
    <t>无尽狂潮6</t>
  </si>
  <si>
    <t>无尽狂潮7</t>
  </si>
  <si>
    <t>无尽狂潮8</t>
  </si>
  <si>
    <t>无尽狂潮9</t>
  </si>
  <si>
    <t>无尽狂潮10</t>
  </si>
  <si>
    <t>无尽狂潮11</t>
  </si>
  <si>
    <t>无尽狂潮12</t>
  </si>
  <si>
    <t>无尽狂潮13</t>
  </si>
  <si>
    <t>无尽狂潮14</t>
  </si>
  <si>
    <t>无尽狂潮15</t>
  </si>
  <si>
    <t>无尽狂潮16</t>
  </si>
  <si>
    <t>无尽狂潮17</t>
  </si>
  <si>
    <t>无尽狂潮18</t>
  </si>
  <si>
    <t>无尽狂潮19</t>
  </si>
  <si>
    <t>无尽狂潮20</t>
  </si>
  <si>
    <t>无尽狂潮21</t>
  </si>
  <si>
    <t>无尽狂潮22</t>
  </si>
  <si>
    <t>无尽狂潮23</t>
  </si>
  <si>
    <t>无尽狂潮24</t>
  </si>
  <si>
    <t>无尽狂潮25</t>
  </si>
  <si>
    <t>无尽狂潮26</t>
  </si>
  <si>
    <t>无尽狂潮27</t>
  </si>
  <si>
    <t>无尽狂潮28</t>
  </si>
  <si>
    <t>无尽狂潮29</t>
  </si>
  <si>
    <t>无尽狂潮30</t>
  </si>
  <si>
    <t>无尽狂潮31</t>
  </si>
  <si>
    <t>无尽狂潮32</t>
  </si>
  <si>
    <t>无尽狂潮33</t>
  </si>
  <si>
    <t>无尽狂潮34</t>
  </si>
  <si>
    <t>无尽狂潮35</t>
  </si>
  <si>
    <t>无尽狂潮36</t>
  </si>
  <si>
    <t>无尽狂潮37</t>
  </si>
  <si>
    <t>无尽狂潮38</t>
  </si>
  <si>
    <t>无尽狂潮39</t>
  </si>
  <si>
    <t>无尽狂潮40</t>
  </si>
  <si>
    <t>无尽狂潮41</t>
  </si>
  <si>
    <t>无尽狂潮42</t>
  </si>
  <si>
    <t>无尽狂潮43</t>
  </si>
  <si>
    <t>无尽狂潮44</t>
  </si>
  <si>
    <t>无尽狂潮45</t>
  </si>
  <si>
    <t>无尽狂潮46</t>
  </si>
  <si>
    <t>无尽狂潮47</t>
  </si>
  <si>
    <t>无尽狂潮48</t>
  </si>
  <si>
    <t>无尽狂潮49</t>
  </si>
  <si>
    <t>无尽狂潮50</t>
  </si>
  <si>
    <t>无尽狂潮51</t>
  </si>
  <si>
    <t>无尽狂潮52</t>
  </si>
  <si>
    <t>无尽狂潮53</t>
  </si>
  <si>
    <t>无尽狂潮54</t>
  </si>
  <si>
    <t>无尽狂潮55</t>
  </si>
  <si>
    <t>无尽狂潮56</t>
  </si>
  <si>
    <t>无尽狂潮57</t>
  </si>
  <si>
    <t>无尽狂潮58</t>
  </si>
  <si>
    <t>无尽狂潮59</t>
  </si>
  <si>
    <t>无尽狂潮60</t>
  </si>
  <si>
    <t>无尽狂潮61</t>
  </si>
  <si>
    <t>无尽狂潮62</t>
  </si>
  <si>
    <t>无尽狂潮63</t>
  </si>
  <si>
    <t>无尽狂潮64</t>
  </si>
  <si>
    <t>无尽狂潮65</t>
  </si>
  <si>
    <t>无尽狂潮66</t>
  </si>
  <si>
    <t>无尽狂潮67</t>
  </si>
  <si>
    <t>无尽狂潮68</t>
  </si>
  <si>
    <t>无尽狂潮69</t>
  </si>
  <si>
    <t>无尽狂潮70</t>
  </si>
  <si>
    <t>无尽狂潮71</t>
  </si>
  <si>
    <t>无尽狂潮72</t>
  </si>
  <si>
    <t>无尽狂潮73</t>
  </si>
  <si>
    <t>无尽狂潮74</t>
  </si>
  <si>
    <t>无尽狂潮75</t>
  </si>
  <si>
    <t>无尽狂潮76</t>
  </si>
  <si>
    <t>无尽狂潮77</t>
  </si>
  <si>
    <t>无尽狂潮78</t>
  </si>
  <si>
    <t>无尽狂潮79</t>
  </si>
  <si>
    <t>无尽狂潮80</t>
  </si>
  <si>
    <t>无尽狂潮81</t>
  </si>
  <si>
    <t>无尽狂潮82</t>
  </si>
  <si>
    <t>无尽狂潮83</t>
  </si>
  <si>
    <t>无尽狂潮84</t>
  </si>
  <si>
    <t>无尽狂潮85</t>
  </si>
  <si>
    <t>无尽狂潮86</t>
  </si>
  <si>
    <t>无尽狂潮87</t>
  </si>
  <si>
    <t>无尽狂潮88</t>
  </si>
  <si>
    <t>无尽狂潮89</t>
  </si>
  <si>
    <t>无尽狂潮90</t>
  </si>
  <si>
    <t>无尽狂潮91</t>
  </si>
  <si>
    <t>无尽狂潮92</t>
  </si>
  <si>
    <t>无尽狂潮93</t>
  </si>
  <si>
    <t>无尽狂潮94</t>
  </si>
  <si>
    <t>无尽狂潮95</t>
  </si>
  <si>
    <t>无尽狂潮96</t>
  </si>
  <si>
    <t>无尽狂潮97</t>
  </si>
  <si>
    <t>无尽狂潮98</t>
  </si>
  <si>
    <t>无尽狂潮99</t>
  </si>
  <si>
    <t>无尽狂潮100</t>
  </si>
  <si>
    <t>无尽狂潮101</t>
  </si>
  <si>
    <t>无尽狂潮102</t>
  </si>
  <si>
    <t>无尽狂潮103</t>
  </si>
  <si>
    <t>无尽狂潮104</t>
  </si>
  <si>
    <t>无尽狂潮105</t>
  </si>
  <si>
    <t>无尽狂潮106</t>
  </si>
  <si>
    <t>无尽狂潮107</t>
  </si>
  <si>
    <t>无尽狂潮108</t>
  </si>
  <si>
    <t>无尽狂潮109</t>
  </si>
  <si>
    <t>无尽狂潮110</t>
  </si>
  <si>
    <t>无尽狂潮111</t>
  </si>
  <si>
    <t>无尽狂潮112</t>
  </si>
  <si>
    <t>无尽狂潮113</t>
  </si>
  <si>
    <t>无尽狂潮114</t>
  </si>
  <si>
    <t>无尽狂潮115</t>
  </si>
  <si>
    <t>无尽狂潮116</t>
  </si>
  <si>
    <t>无尽狂潮117</t>
  </si>
  <si>
    <t>无尽狂潮118</t>
  </si>
  <si>
    <t>无尽狂潮119</t>
  </si>
  <si>
    <t>无尽狂潮120</t>
  </si>
  <si>
    <t>无尽狂潮121</t>
  </si>
  <si>
    <t>无尽狂潮122</t>
  </si>
  <si>
    <t>无尽狂潮123</t>
  </si>
  <si>
    <t>无尽狂潮124</t>
  </si>
  <si>
    <t>无尽狂潮125</t>
  </si>
  <si>
    <t>无尽狂潮126</t>
  </si>
  <si>
    <t>无尽狂潮127</t>
  </si>
  <si>
    <t>无尽狂潮128</t>
  </si>
  <si>
    <t>无尽狂潮129</t>
  </si>
  <si>
    <t>无尽狂潮130</t>
  </si>
  <si>
    <t>无尽狂潮131</t>
  </si>
  <si>
    <t>无尽狂潮132</t>
  </si>
  <si>
    <t>无尽狂潮133</t>
  </si>
  <si>
    <t>无尽狂潮134</t>
  </si>
  <si>
    <t>无尽狂潮135</t>
  </si>
  <si>
    <t>无尽狂潮136</t>
  </si>
  <si>
    <t>无尽狂潮137</t>
  </si>
  <si>
    <t>无尽狂潮138</t>
  </si>
  <si>
    <t>无尽狂潮139</t>
  </si>
  <si>
    <t>无尽狂潮140</t>
  </si>
  <si>
    <t>无尽狂潮141</t>
  </si>
  <si>
    <t>无尽狂潮142</t>
  </si>
  <si>
    <t>无尽狂潮143</t>
  </si>
  <si>
    <t>无尽狂潮144</t>
  </si>
  <si>
    <t>无尽狂潮145</t>
  </si>
  <si>
    <t>无尽狂潮146</t>
  </si>
  <si>
    <t>无尽狂潮147</t>
  </si>
  <si>
    <t>无尽狂潮148</t>
  </si>
  <si>
    <t>无尽狂潮149</t>
  </si>
  <si>
    <t>无尽狂潮150</t>
  </si>
  <si>
    <t>无尽狂潮151</t>
  </si>
  <si>
    <t>无尽狂潮152</t>
  </si>
  <si>
    <t>无尽狂潮153</t>
  </si>
  <si>
    <t>无尽狂潮154</t>
  </si>
  <si>
    <t>无尽狂潮155</t>
  </si>
  <si>
    <t>无尽狂潮156</t>
  </si>
  <si>
    <t>无尽狂潮157</t>
  </si>
  <si>
    <t>无尽狂潮158</t>
  </si>
  <si>
    <t>无尽狂潮159</t>
  </si>
  <si>
    <t>无尽狂潮160</t>
  </si>
  <si>
    <t>无尽狂潮161</t>
  </si>
  <si>
    <t>无尽狂潮162</t>
  </si>
  <si>
    <t>无尽狂潮163</t>
  </si>
  <si>
    <t>无尽狂潮164</t>
  </si>
  <si>
    <t>无尽狂潮165</t>
  </si>
  <si>
    <t>无尽狂潮166</t>
  </si>
  <si>
    <t>无尽狂潮167</t>
  </si>
  <si>
    <t>无尽狂潮168</t>
  </si>
  <si>
    <t>无尽狂潮169</t>
  </si>
  <si>
    <t>无尽狂潮170</t>
  </si>
  <si>
    <t>无尽狂潮171</t>
  </si>
  <si>
    <t>无尽狂潮172</t>
  </si>
  <si>
    <t>无尽狂潮173</t>
  </si>
  <si>
    <t>无尽狂潮174</t>
  </si>
  <si>
    <t>无尽狂潮175</t>
  </si>
  <si>
    <t>无尽狂潮176</t>
  </si>
  <si>
    <t>无尽狂潮177</t>
  </si>
  <si>
    <t>无尽狂潮178</t>
  </si>
  <si>
    <t>无尽狂潮179</t>
  </si>
  <si>
    <t>无尽狂潮180</t>
  </si>
  <si>
    <t>无尽狂潮181</t>
  </si>
  <si>
    <t>无尽狂潮182</t>
  </si>
  <si>
    <t>无尽狂潮183</t>
  </si>
  <si>
    <t>无尽狂潮184</t>
  </si>
  <si>
    <t>无尽狂潮185</t>
  </si>
  <si>
    <t>无尽狂潮186</t>
  </si>
  <si>
    <t>无尽狂潮187</t>
  </si>
  <si>
    <t>无尽狂潮188</t>
  </si>
  <si>
    <t>无尽狂潮189</t>
  </si>
  <si>
    <t>无尽狂潮190</t>
  </si>
  <si>
    <t>无尽狂潮191</t>
  </si>
  <si>
    <t>无尽狂潮192</t>
  </si>
  <si>
    <t>无尽狂潮193</t>
  </si>
  <si>
    <t>无尽狂潮194</t>
  </si>
  <si>
    <t>无尽狂潮195</t>
  </si>
  <si>
    <t>无尽狂潮196</t>
  </si>
  <si>
    <t>无尽狂潮197</t>
  </si>
  <si>
    <t>无尽狂潮198</t>
  </si>
  <si>
    <t>无尽狂潮199</t>
  </si>
  <si>
    <t>无尽狂潮200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</si>
</sst>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%"/>
    <numFmt numFmtId="177" formatCode="0_ "/>
  </numFmts>
  <fonts count="24" x14ac:knownFonts="1">
    <font>
      <sz val="11"/>
      <color theme="1"/>
      <name val="等线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rgb="FF00FF00"/>
      <name val="等线"/>
      <family val="3"/>
      <charset val="134"/>
      <scheme val="minor"/>
    </font>
    <font>
      <sz val="11"/>
      <color theme="0" tint="-0.3499862666707357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rgb="FFFFFF00"/>
      <name val="等线"/>
      <family val="3"/>
      <charset val="134"/>
      <scheme val="minor"/>
    </font>
    <font>
      <sz val="11"/>
      <color rgb="FFFF7E37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u/>
      <sz val="11"/>
      <color theme="1" tint="0.499984740745262"/>
      <name val="等线"/>
      <family val="3"/>
      <charset val="134"/>
      <scheme val="minor"/>
    </font>
    <font>
      <sz val="11"/>
      <color theme="1" tint="0.499984740745262"/>
      <name val="等线"/>
      <family val="3"/>
      <charset val="134"/>
      <scheme val="minor"/>
    </font>
    <font>
      <u/>
      <sz val="11"/>
      <color theme="10"/>
      <name val="等线"/>
      <family val="3"/>
      <charset val="134"/>
      <scheme val="minor"/>
    </font>
    <font>
      <i/>
      <sz val="11"/>
      <color theme="1"/>
      <name val="等线"/>
      <family val="3"/>
      <charset val="134"/>
      <scheme val="minor"/>
    </font>
    <font>
      <sz val="1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rgb="FF00FF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11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4" fillId="0" borderId="0">
      <alignment vertical="center"/>
    </xf>
  </cellStyleXfs>
  <cellXfs count="47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5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49" fontId="6" fillId="2" borderId="0" xfId="0" applyNumberFormat="1" applyFont="1" applyFill="1" applyAlignment="1">
      <alignment horizontal="left" vertical="center" wrapText="1"/>
    </xf>
    <xf numFmtId="0" fontId="7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9" fontId="4" fillId="0" borderId="0" xfId="0" applyNumberFormat="1" applyFont="1" applyAlignment="1">
      <alignment horizontal="center" vertical="center"/>
    </xf>
    <xf numFmtId="10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9" fontId="8" fillId="0" borderId="0" xfId="0" applyNumberFormat="1" applyFont="1" applyAlignment="1">
      <alignment horizontal="center" vertical="center"/>
    </xf>
    <xf numFmtId="9" fontId="4" fillId="0" borderId="0" xfId="0" applyNumberFormat="1" applyFont="1" applyAlignment="1">
      <alignment horizontal="center" vertical="center" wrapText="1"/>
    </xf>
    <xf numFmtId="9" fontId="8" fillId="0" borderId="0" xfId="0" applyNumberFormat="1" applyFont="1" applyAlignment="1" applyProtection="1">
      <alignment horizontal="center" vertical="center"/>
      <protection locked="0"/>
    </xf>
    <xf numFmtId="9" fontId="4" fillId="0" borderId="0" xfId="0" applyNumberFormat="1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10" fontId="8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left" vertical="center"/>
    </xf>
    <xf numFmtId="176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11" fillId="0" borderId="0" xfId="1" applyAlignment="1">
      <alignment horizontal="center" vertical="center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4" fillId="0" borderId="0" xfId="0" applyFont="1">
      <alignment vertical="center"/>
    </xf>
    <xf numFmtId="0" fontId="17" fillId="2" borderId="0" xfId="0" applyFont="1" applyFill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center" vertical="center"/>
      <protection locked="0"/>
    </xf>
    <xf numFmtId="0" fontId="20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177" fontId="23" fillId="0" borderId="0" xfId="0" applyNumberFormat="1" applyFont="1" applyAlignment="1">
      <alignment horizontal="center" vertical="center"/>
    </xf>
    <xf numFmtId="3" fontId="23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2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3">
    <cellStyle name="常规" xfId="0" builtinId="0"/>
    <cellStyle name="常规 2" xfId="2" xr:uid="{00000000-0005-0000-0000-000031000000}"/>
    <cellStyle name="超链接" xfId="1" builtinId="8"/>
  </cellStyles>
  <dxfs count="0"/>
  <tableStyles count="0" defaultTableStyle="TableStyleMedium2" defaultPivotStyle="PivotStyleLight16"/>
  <colors>
    <mruColors>
      <color rgb="FF9EA2AD"/>
      <color rgb="FF00FF00"/>
      <color rgb="FFFFCC00"/>
      <color rgb="FFFF4343"/>
      <color rgb="FF7EBFF1"/>
      <color rgb="FF64FF64"/>
      <color rgb="FFFF7E37"/>
      <color rgb="FF95FF9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28575</xdr:colOff>
      <xdr:row>0</xdr:row>
      <xdr:rowOff>123825</xdr:rowOff>
    </xdr:from>
    <xdr:to>
      <xdr:col>8</xdr:col>
      <xdr:colOff>237355</xdr:colOff>
      <xdr:row>8</xdr:row>
      <xdr:rowOff>199768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62425" y="123825"/>
          <a:ext cx="6161405" cy="2117725"/>
        </a:xfrm>
        <a:prstGeom prst="rect">
          <a:avLst/>
        </a:prstGeom>
      </xdr:spPr>
    </xdr:pic>
    <xdr:clientData/>
  </xdr:twoCellAnchor>
  <xdr:twoCellAnchor editAs="oneCell">
    <xdr:from>
      <xdr:col>6</xdr:col>
      <xdr:colOff>569477</xdr:colOff>
      <xdr:row>9</xdr:row>
      <xdr:rowOff>200027</xdr:rowOff>
    </xdr:from>
    <xdr:to>
      <xdr:col>9</xdr:col>
      <xdr:colOff>304800</xdr:colOff>
      <xdr:row>18</xdr:row>
      <xdr:rowOff>114300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74685" y="2497455"/>
          <a:ext cx="3307715" cy="2211705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9</xdr:row>
      <xdr:rowOff>133351</xdr:rowOff>
    </xdr:from>
    <xdr:to>
      <xdr:col>6</xdr:col>
      <xdr:colOff>532895</xdr:colOff>
      <xdr:row>18</xdr:row>
      <xdr:rowOff>66406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00525" y="2430780"/>
          <a:ext cx="4037965" cy="2230120"/>
        </a:xfrm>
        <a:prstGeom prst="rect">
          <a:avLst/>
        </a:prstGeom>
      </xdr:spPr>
    </xdr:pic>
    <xdr:clientData/>
  </xdr:twoCellAnchor>
  <xdr:twoCellAnchor editAs="oneCell">
    <xdr:from>
      <xdr:col>5</xdr:col>
      <xdr:colOff>274202</xdr:colOff>
      <xdr:row>19</xdr:row>
      <xdr:rowOff>4056</xdr:rowOff>
    </xdr:from>
    <xdr:to>
      <xdr:col>7</xdr:col>
      <xdr:colOff>1162050</xdr:colOff>
      <xdr:row>28</xdr:row>
      <xdr:rowOff>104438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788785" y="4853940"/>
          <a:ext cx="3269615" cy="2397760"/>
        </a:xfrm>
        <a:prstGeom prst="rect">
          <a:avLst/>
        </a:prstGeom>
      </xdr:spPr>
    </xdr:pic>
    <xdr:clientData/>
  </xdr:twoCellAnchor>
  <xdr:twoCellAnchor editAs="oneCell">
    <xdr:from>
      <xdr:col>7</xdr:col>
      <xdr:colOff>1143000</xdr:colOff>
      <xdr:row>19</xdr:row>
      <xdr:rowOff>66676</xdr:rowOff>
    </xdr:from>
    <xdr:to>
      <xdr:col>10</xdr:col>
      <xdr:colOff>1000125</xdr:colOff>
      <xdr:row>28</xdr:row>
      <xdr:rowOff>79632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039350" y="4916805"/>
          <a:ext cx="3429000" cy="2310130"/>
        </a:xfrm>
        <a:prstGeom prst="rect">
          <a:avLst/>
        </a:prstGeom>
      </xdr:spPr>
    </xdr:pic>
    <xdr:clientData/>
  </xdr:twoCellAnchor>
  <xdr:twoCellAnchor editAs="oneCell">
    <xdr:from>
      <xdr:col>3</xdr:col>
      <xdr:colOff>180975</xdr:colOff>
      <xdr:row>19</xdr:row>
      <xdr:rowOff>9525</xdr:rowOff>
    </xdr:from>
    <xdr:to>
      <xdr:col>5</xdr:col>
      <xdr:colOff>228600</xdr:colOff>
      <xdr:row>28</xdr:row>
      <xdr:rowOff>35467</xdr:rowOff>
    </xdr:to>
    <xdr:pic>
      <xdr:nvPicPr>
        <xdr:cNvPr id="10" name="图片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314825" y="4859655"/>
          <a:ext cx="2428875" cy="2322830"/>
        </a:xfrm>
        <a:prstGeom prst="rect">
          <a:avLst/>
        </a:prstGeom>
      </xdr:spPr>
    </xdr:pic>
    <xdr:clientData/>
  </xdr:twoCellAnchor>
  <xdr:twoCellAnchor editAs="oneCell">
    <xdr:from>
      <xdr:col>3</xdr:col>
      <xdr:colOff>28575</xdr:colOff>
      <xdr:row>28</xdr:row>
      <xdr:rowOff>190500</xdr:rowOff>
    </xdr:from>
    <xdr:to>
      <xdr:col>6</xdr:col>
      <xdr:colOff>390033</xdr:colOff>
      <xdr:row>34</xdr:row>
      <xdr:rowOff>47457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2425" y="7338060"/>
          <a:ext cx="3933190" cy="138811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35</xdr:row>
      <xdr:rowOff>0</xdr:rowOff>
    </xdr:from>
    <xdr:to>
      <xdr:col>6</xdr:col>
      <xdr:colOff>561458</xdr:colOff>
      <xdr:row>43</xdr:row>
      <xdr:rowOff>75943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FCB4BA4A-45C1-BCC6-4D70-09BDFDF2A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133850" y="8667750"/>
          <a:ext cx="4133333" cy="2057143"/>
        </a:xfrm>
        <a:prstGeom prst="rect">
          <a:avLst/>
        </a:prstGeom>
      </xdr:spPr>
    </xdr:pic>
    <xdr:clientData/>
  </xdr:twoCellAnchor>
  <xdr:twoCellAnchor editAs="oneCell">
    <xdr:from>
      <xdr:col>6</xdr:col>
      <xdr:colOff>904875</xdr:colOff>
      <xdr:row>36</xdr:row>
      <xdr:rowOff>38100</xdr:rowOff>
    </xdr:from>
    <xdr:to>
      <xdr:col>10</xdr:col>
      <xdr:colOff>789994</xdr:colOff>
      <xdr:row>41</xdr:row>
      <xdr:rowOff>171279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9614A585-21B9-7EDA-E6EA-15BEBC8FDF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610600" y="8953500"/>
          <a:ext cx="4647619" cy="13714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"/>
  <dimension ref="A1:P43"/>
  <sheetViews>
    <sheetView workbookViewId="0">
      <selection activeCell="B42" sqref="B42"/>
    </sheetView>
  </sheetViews>
  <sheetFormatPr defaultColWidth="15.625" defaultRowHeight="20.100000000000001" customHeight="1" x14ac:dyDescent="0.2"/>
  <cols>
    <col min="2" max="2" width="18.125" customWidth="1"/>
    <col min="3" max="3" width="20.5" customWidth="1"/>
  </cols>
  <sheetData>
    <row r="1" spans="1:16" ht="20.100000000000001" customHeight="1" x14ac:dyDescent="0.2">
      <c r="A1" t="s">
        <v>0</v>
      </c>
      <c r="D1" s="26"/>
      <c r="F1" s="27"/>
    </row>
    <row r="2" spans="1:16" ht="20.100000000000001" customHeight="1" x14ac:dyDescent="0.2">
      <c r="A2" s="28" t="s">
        <v>1</v>
      </c>
      <c r="B2" s="44" t="s">
        <v>377</v>
      </c>
      <c r="C2" s="44"/>
      <c r="E2" s="27"/>
    </row>
    <row r="3" spans="1:16" ht="20.100000000000001" customHeight="1" x14ac:dyDescent="0.2">
      <c r="A3" s="4" t="s">
        <v>2</v>
      </c>
      <c r="B3" s="45" t="s">
        <v>3</v>
      </c>
      <c r="C3" s="45"/>
      <c r="D3" s="27"/>
    </row>
    <row r="4" spans="1:16" ht="20.100000000000001" customHeight="1" x14ac:dyDescent="0.2">
      <c r="A4" s="4" t="s">
        <v>4</v>
      </c>
      <c r="B4" s="46" t="s">
        <v>5</v>
      </c>
      <c r="C4" s="46"/>
      <c r="D4" s="26"/>
      <c r="F4" s="27"/>
    </row>
    <row r="5" spans="1:16" ht="20.100000000000001" customHeight="1" x14ac:dyDescent="0.2">
      <c r="A5" s="1"/>
      <c r="B5" s="4" t="s">
        <v>6</v>
      </c>
      <c r="C5" s="1" t="s">
        <v>7</v>
      </c>
    </row>
    <row r="6" spans="1:16" ht="20.100000000000001" customHeight="1" x14ac:dyDescent="0.2">
      <c r="A6" s="1"/>
      <c r="B6" s="1"/>
      <c r="C6" s="1" t="str">
        <f>NextId(C5)</f>
        <v>A001</v>
      </c>
    </row>
    <row r="7" spans="1:16" ht="20.100000000000001" customHeight="1" x14ac:dyDescent="0.2">
      <c r="A7" s="46" t="s">
        <v>8</v>
      </c>
      <c r="B7" s="46"/>
      <c r="C7" s="46"/>
    </row>
    <row r="8" spans="1:16" ht="20.100000000000001" customHeight="1" x14ac:dyDescent="0.2">
      <c r="B8" s="4"/>
    </row>
    <row r="9" spans="1:16" ht="20.100000000000001" customHeight="1" x14ac:dyDescent="0.2">
      <c r="A9" s="44" t="s">
        <v>9</v>
      </c>
      <c r="B9" s="44"/>
      <c r="C9" s="44"/>
      <c r="L9" s="1"/>
      <c r="M9" s="29"/>
      <c r="N9" s="29"/>
      <c r="O9" s="29"/>
      <c r="P9" s="29"/>
    </row>
    <row r="10" spans="1:16" ht="20.100000000000001" customHeight="1" x14ac:dyDescent="0.2">
      <c r="A10" s="44"/>
      <c r="B10" s="44"/>
      <c r="C10" s="44"/>
    </row>
    <row r="13" spans="1:16" ht="20.100000000000001" customHeight="1" x14ac:dyDescent="0.2">
      <c r="A13" s="44" t="s">
        <v>10</v>
      </c>
      <c r="B13" s="44"/>
      <c r="C13" s="44"/>
    </row>
    <row r="14" spans="1:16" ht="20.100000000000001" customHeight="1" x14ac:dyDescent="0.2">
      <c r="A14" s="44"/>
      <c r="B14" s="44"/>
      <c r="C14" s="44"/>
    </row>
    <row r="19" spans="1:14" ht="20.100000000000001" customHeight="1" x14ac:dyDescent="0.2">
      <c r="B19" s="1"/>
    </row>
    <row r="21" spans="1:14" ht="20.100000000000001" customHeight="1" x14ac:dyDescent="0.2">
      <c r="B21" s="26"/>
      <c r="C21" s="27"/>
    </row>
    <row r="22" spans="1:14" ht="20.100000000000001" customHeight="1" x14ac:dyDescent="0.2">
      <c r="A22" s="44" t="s">
        <v>11</v>
      </c>
      <c r="B22" s="44"/>
      <c r="C22" s="44"/>
    </row>
    <row r="23" spans="1:14" ht="20.100000000000001" customHeight="1" x14ac:dyDescent="0.2">
      <c r="A23" s="44"/>
      <c r="B23" s="44"/>
      <c r="C23" s="44"/>
    </row>
    <row r="24" spans="1:14" ht="20.100000000000001" customHeight="1" x14ac:dyDescent="0.2">
      <c r="A24" s="44"/>
      <c r="B24" s="44"/>
      <c r="C24" s="44"/>
    </row>
    <row r="25" spans="1:14" ht="20.100000000000001" customHeight="1" x14ac:dyDescent="0.2">
      <c r="B25" s="1"/>
    </row>
    <row r="30" spans="1:14" ht="20.100000000000001" customHeight="1" x14ac:dyDescent="0.2">
      <c r="A30" s="44" t="s">
        <v>12</v>
      </c>
      <c r="B30" s="44"/>
      <c r="C30" s="44"/>
      <c r="N30" s="30"/>
    </row>
    <row r="31" spans="1:14" ht="20.100000000000001" customHeight="1" x14ac:dyDescent="0.2">
      <c r="A31" s="44"/>
      <c r="B31" s="44"/>
      <c r="C31" s="44"/>
      <c r="K31" s="31"/>
      <c r="L31" s="31"/>
      <c r="M31" s="31"/>
      <c r="N31" s="30"/>
    </row>
    <row r="32" spans="1:14" ht="20.100000000000001" customHeight="1" x14ac:dyDescent="0.2">
      <c r="A32" s="44" t="s">
        <v>13</v>
      </c>
      <c r="B32" s="44"/>
      <c r="C32" s="44"/>
    </row>
    <row r="33" spans="1:15" ht="20.100000000000001" customHeight="1" x14ac:dyDescent="0.2">
      <c r="A33" s="44"/>
      <c r="B33" s="44"/>
      <c r="C33" s="44"/>
    </row>
    <row r="37" spans="1:15" ht="20.100000000000001" customHeight="1" x14ac:dyDescent="0.2">
      <c r="E37" s="26"/>
      <c r="G37" s="27"/>
    </row>
    <row r="38" spans="1:15" ht="20.100000000000001" customHeight="1" x14ac:dyDescent="0.2">
      <c r="J38" s="31"/>
      <c r="K38" s="31"/>
      <c r="L38" s="31"/>
      <c r="M38" s="31"/>
    </row>
    <row r="39" spans="1:15" ht="20.100000000000001" customHeight="1" x14ac:dyDescent="0.2">
      <c r="A39" s="43" t="s">
        <v>376</v>
      </c>
      <c r="B39" s="44"/>
      <c r="C39" s="44"/>
      <c r="J39" s="31"/>
      <c r="K39" s="31"/>
      <c r="L39" s="31"/>
      <c r="M39" s="31"/>
      <c r="N39" s="31"/>
    </row>
    <row r="40" spans="1:15" ht="20.100000000000001" customHeight="1" x14ac:dyDescent="0.2">
      <c r="A40" s="44"/>
      <c r="B40" s="44"/>
      <c r="C40" s="44"/>
      <c r="I40" s="31"/>
      <c r="J40" s="31"/>
      <c r="K40" s="31"/>
      <c r="L40" s="31"/>
      <c r="M40" s="31"/>
      <c r="N40" s="31"/>
    </row>
    <row r="41" spans="1:15" ht="20.100000000000001" customHeight="1" x14ac:dyDescent="0.2">
      <c r="J41" s="31"/>
      <c r="K41" s="31"/>
      <c r="L41" s="31"/>
      <c r="M41" s="31"/>
      <c r="O41" s="31"/>
    </row>
    <row r="42" spans="1:15" ht="20.100000000000001" customHeight="1" x14ac:dyDescent="0.2">
      <c r="J42" s="31"/>
      <c r="K42" s="31"/>
      <c r="L42" s="31"/>
      <c r="M42" s="31"/>
    </row>
    <row r="43" spans="1:15" ht="20.100000000000001" customHeight="1" x14ac:dyDescent="0.2">
      <c r="J43" s="31"/>
      <c r="K43" s="31"/>
      <c r="L43" s="31"/>
      <c r="M43" s="31"/>
    </row>
  </sheetData>
  <mergeCells count="10">
    <mergeCell ref="A39:C40"/>
    <mergeCell ref="B2:C2"/>
    <mergeCell ref="B3:C3"/>
    <mergeCell ref="B4:C4"/>
    <mergeCell ref="A7:C7"/>
    <mergeCell ref="A32:C33"/>
    <mergeCell ref="A13:C14"/>
    <mergeCell ref="A9:C10"/>
    <mergeCell ref="A22:C24"/>
    <mergeCell ref="A30:C31"/>
  </mergeCells>
  <phoneticPr fontId="15" type="noConversion"/>
  <hyperlinks>
    <hyperlink ref="A2" location="简述!A2" display="导出路径" xr:uid="{00000000-0004-0000-0000-000000000000}"/>
  </hyperlinks>
  <pageMargins left="0.7" right="0.7" top="0.75" bottom="0.75" header="0.3" footer="0.3"/>
  <pageSetup paperSize="9"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AW65"/>
  <sheetViews>
    <sheetView workbookViewId="0">
      <pane xSplit="1" ySplit="2" topLeftCell="B3" activePane="bottomRight" state="frozen"/>
      <selection pane="topRight"/>
      <selection pane="bottomLeft"/>
      <selection pane="bottomRight" activeCell="G11" sqref="G11"/>
    </sheetView>
  </sheetViews>
  <sheetFormatPr defaultColWidth="16.625" defaultRowHeight="18" customHeight="1" x14ac:dyDescent="0.2"/>
  <cols>
    <col min="1" max="1" width="16.625" style="24"/>
    <col min="2" max="2" width="16.5" style="2" customWidth="1"/>
    <col min="3" max="44" width="16.625" style="2"/>
    <col min="45" max="45" width="16.625" style="2" customWidth="1"/>
    <col min="46" max="16384" width="16.625" style="2"/>
  </cols>
  <sheetData>
    <row r="1" spans="1:49" s="4" customFormat="1" ht="18" customHeight="1" x14ac:dyDescent="0.2">
      <c r="A1" s="35" t="s">
        <v>378</v>
      </c>
      <c r="B1" s="37" t="s">
        <v>382</v>
      </c>
      <c r="C1" s="37" t="s">
        <v>389</v>
      </c>
      <c r="D1" s="37" t="s">
        <v>388</v>
      </c>
      <c r="E1" s="37" t="s">
        <v>390</v>
      </c>
      <c r="F1" s="37" t="s">
        <v>391</v>
      </c>
      <c r="H1" s="10" t="s">
        <v>53</v>
      </c>
      <c r="I1" s="10" t="s">
        <v>54</v>
      </c>
    </row>
    <row r="2" spans="1:49" s="4" customFormat="1" ht="18" customHeight="1" x14ac:dyDescent="0.2">
      <c r="A2" s="25" t="s">
        <v>14</v>
      </c>
      <c r="B2" s="37" t="s">
        <v>383</v>
      </c>
      <c r="C2" s="37" t="s">
        <v>387</v>
      </c>
      <c r="D2" s="37" t="s">
        <v>387</v>
      </c>
      <c r="E2" s="37" t="s">
        <v>387</v>
      </c>
      <c r="F2" s="37" t="s">
        <v>387</v>
      </c>
      <c r="H2" s="10" t="s">
        <v>14</v>
      </c>
      <c r="I2" s="10"/>
    </row>
    <row r="3" spans="1:49" ht="18" customHeight="1" x14ac:dyDescent="0.2">
      <c r="A3" s="36" t="s">
        <v>379</v>
      </c>
      <c r="B3" s="33" t="s">
        <v>384</v>
      </c>
      <c r="C3" s="2">
        <v>30</v>
      </c>
      <c r="D3" s="2">
        <v>120</v>
      </c>
      <c r="E3" s="2">
        <v>1</v>
      </c>
      <c r="F3" s="2">
        <v>0.25</v>
      </c>
      <c r="H3" s="38" t="s">
        <v>418</v>
      </c>
      <c r="I3" s="36" t="s">
        <v>379</v>
      </c>
      <c r="X3" s="3"/>
      <c r="AJ3" s="3"/>
      <c r="AK3" s="3"/>
      <c r="AL3" s="3"/>
      <c r="AM3" s="3"/>
      <c r="AN3" s="3"/>
      <c r="AS3" s="24"/>
      <c r="AW3" s="24"/>
    </row>
    <row r="4" spans="1:49" ht="18" customHeight="1" x14ac:dyDescent="0.2">
      <c r="A4" s="36" t="s">
        <v>380</v>
      </c>
      <c r="B4" s="33" t="s">
        <v>385</v>
      </c>
      <c r="C4" s="2">
        <v>120</v>
      </c>
      <c r="D4" s="2">
        <v>30</v>
      </c>
      <c r="E4" s="2">
        <v>0.25</v>
      </c>
      <c r="F4" s="2">
        <v>1</v>
      </c>
      <c r="H4" s="38" t="s">
        <v>418</v>
      </c>
      <c r="I4" s="36" t="s">
        <v>380</v>
      </c>
      <c r="X4" s="3"/>
      <c r="AJ4" s="3"/>
      <c r="AK4" s="3"/>
      <c r="AL4" s="3"/>
      <c r="AM4" s="3"/>
      <c r="AN4" s="3"/>
    </row>
    <row r="5" spans="1:49" ht="18" customHeight="1" x14ac:dyDescent="0.2">
      <c r="A5" s="36" t="s">
        <v>381</v>
      </c>
      <c r="B5" s="33" t="s">
        <v>386</v>
      </c>
      <c r="C5" s="2">
        <v>60</v>
      </c>
      <c r="D5" s="2">
        <v>60</v>
      </c>
      <c r="E5" s="2">
        <v>0.5</v>
      </c>
      <c r="F5" s="33">
        <v>0.5</v>
      </c>
      <c r="H5" s="38" t="s">
        <v>418</v>
      </c>
      <c r="I5" s="36" t="s">
        <v>381</v>
      </c>
      <c r="T5" s="3"/>
      <c r="U5" s="3"/>
      <c r="V5" s="3"/>
      <c r="W5" s="3"/>
      <c r="X5" s="3"/>
      <c r="AJ5" s="3"/>
      <c r="AK5" s="3"/>
      <c r="AL5" s="3"/>
      <c r="AM5" s="3"/>
      <c r="AN5" s="3"/>
      <c r="AS5" s="24"/>
      <c r="AW5" s="24"/>
    </row>
    <row r="6" spans="1:49" ht="18" customHeight="1" x14ac:dyDescent="0.2">
      <c r="T6" s="3"/>
      <c r="U6" s="3"/>
      <c r="V6" s="3"/>
      <c r="W6" s="3"/>
      <c r="X6" s="3"/>
      <c r="AJ6" s="3"/>
      <c r="AK6" s="3"/>
      <c r="AL6" s="3"/>
      <c r="AM6" s="3"/>
      <c r="AN6" s="3"/>
      <c r="AO6" s="4"/>
    </row>
    <row r="7" spans="1:49" ht="18" customHeight="1" x14ac:dyDescent="0.2">
      <c r="T7" s="3"/>
      <c r="U7" s="3"/>
      <c r="V7" s="3"/>
      <c r="W7" s="3"/>
      <c r="X7" s="3"/>
      <c r="AJ7" s="3"/>
      <c r="AK7" s="3"/>
      <c r="AL7" s="3"/>
      <c r="AM7" s="3"/>
      <c r="AN7" s="3"/>
      <c r="AS7" s="24"/>
      <c r="AW7" s="24"/>
    </row>
    <row r="8" spans="1:49" ht="18" customHeight="1" x14ac:dyDescent="0.2">
      <c r="T8" s="3"/>
      <c r="U8" s="3"/>
      <c r="V8" s="3"/>
      <c r="W8" s="3"/>
      <c r="X8" s="3"/>
      <c r="AJ8" s="3"/>
      <c r="AK8" s="3"/>
      <c r="AL8" s="3"/>
      <c r="AM8" s="3"/>
      <c r="AN8" s="3"/>
    </row>
    <row r="9" spans="1:49" ht="18" customHeight="1" x14ac:dyDescent="0.2">
      <c r="T9" s="3"/>
      <c r="U9" s="3"/>
      <c r="V9" s="3"/>
      <c r="W9" s="3"/>
      <c r="X9" s="3"/>
      <c r="AJ9" s="3"/>
      <c r="AK9" s="3"/>
      <c r="AL9" s="3"/>
      <c r="AM9" s="3"/>
      <c r="AN9" s="3"/>
      <c r="AS9" s="24"/>
      <c r="AW9" s="24"/>
    </row>
    <row r="10" spans="1:49" ht="18" customHeight="1" x14ac:dyDescent="0.2">
      <c r="T10" s="3"/>
      <c r="U10" s="3"/>
      <c r="V10" s="3"/>
      <c r="W10" s="3"/>
      <c r="X10" s="3"/>
      <c r="AJ10" s="3"/>
      <c r="AK10" s="3"/>
      <c r="AL10" s="3"/>
      <c r="AM10" s="3"/>
      <c r="AN10" s="3"/>
    </row>
    <row r="11" spans="1:49" ht="18" customHeight="1" x14ac:dyDescent="0.2">
      <c r="B11" s="3"/>
      <c r="T11" s="3"/>
      <c r="U11" s="3"/>
      <c r="V11" s="3"/>
      <c r="W11" s="3"/>
      <c r="X11" s="3"/>
      <c r="AJ11" s="3"/>
      <c r="AK11" s="3"/>
      <c r="AL11" s="3"/>
      <c r="AM11" s="3"/>
      <c r="AN11" s="3"/>
    </row>
    <row r="12" spans="1:49" ht="18" customHeight="1" x14ac:dyDescent="0.2">
      <c r="B12" s="3"/>
      <c r="T12" s="3"/>
      <c r="U12" s="3"/>
      <c r="V12" s="3"/>
      <c r="W12" s="3"/>
      <c r="X12" s="3"/>
      <c r="AJ12" s="3"/>
      <c r="AK12" s="3"/>
      <c r="AL12" s="3"/>
      <c r="AM12" s="3"/>
      <c r="AN12" s="3"/>
    </row>
    <row r="13" spans="1:49" ht="18" customHeight="1" x14ac:dyDescent="0.2">
      <c r="B13" s="3"/>
      <c r="T13" s="3"/>
      <c r="U13" s="3"/>
      <c r="V13" s="3"/>
      <c r="W13" s="3"/>
      <c r="X13" s="3"/>
      <c r="AJ13" s="3"/>
      <c r="AK13" s="3"/>
      <c r="AL13" s="3"/>
      <c r="AM13" s="3"/>
      <c r="AN13" s="3"/>
    </row>
    <row r="14" spans="1:49" ht="18" customHeight="1" x14ac:dyDescent="0.2">
      <c r="B14" s="3"/>
      <c r="T14" s="3"/>
      <c r="U14" s="3"/>
      <c r="V14" s="3"/>
      <c r="W14" s="3"/>
      <c r="X14" s="3"/>
      <c r="AJ14" s="3"/>
      <c r="AK14" s="3"/>
      <c r="AL14" s="3"/>
      <c r="AM14" s="3"/>
      <c r="AN14" s="3"/>
    </row>
    <row r="15" spans="1:49" ht="18" customHeight="1" x14ac:dyDescent="0.2">
      <c r="B15" s="3"/>
      <c r="T15" s="3"/>
      <c r="U15" s="3"/>
      <c r="V15" s="3"/>
      <c r="W15" s="3"/>
      <c r="X15" s="3"/>
      <c r="AJ15" s="3"/>
      <c r="AK15" s="3"/>
      <c r="AL15" s="3"/>
      <c r="AM15" s="3"/>
      <c r="AN15" s="3"/>
    </row>
    <row r="16" spans="1:49" ht="18" customHeight="1" x14ac:dyDescent="0.2">
      <c r="T16" s="3"/>
      <c r="U16" s="3"/>
      <c r="V16" s="3"/>
      <c r="W16" s="3"/>
      <c r="X16" s="3"/>
      <c r="AJ16" s="3"/>
      <c r="AK16" s="3"/>
      <c r="AL16" s="3"/>
      <c r="AM16" s="3"/>
      <c r="AN16" s="3"/>
    </row>
    <row r="17" spans="2:40" ht="18" customHeight="1" x14ac:dyDescent="0.2">
      <c r="B17" s="3"/>
      <c r="T17" s="3"/>
      <c r="U17" s="3"/>
      <c r="V17" s="3"/>
      <c r="W17" s="3"/>
      <c r="X17" s="3"/>
      <c r="AJ17" s="3"/>
      <c r="AK17" s="3"/>
      <c r="AL17" s="3"/>
      <c r="AM17" s="3"/>
      <c r="AN17" s="3"/>
    </row>
    <row r="18" spans="2:40" ht="18" customHeight="1" x14ac:dyDescent="0.2">
      <c r="B18" s="3"/>
      <c r="T18" s="3"/>
      <c r="U18" s="3"/>
      <c r="V18" s="3"/>
      <c r="W18" s="3"/>
      <c r="X18" s="3"/>
      <c r="AJ18" s="3"/>
      <c r="AK18" s="3"/>
      <c r="AL18" s="3"/>
      <c r="AM18" s="3"/>
      <c r="AN18" s="3"/>
    </row>
    <row r="19" spans="2:40" ht="18" customHeight="1" x14ac:dyDescent="0.2">
      <c r="B19" s="3"/>
      <c r="T19" s="3"/>
      <c r="U19" s="3"/>
      <c r="V19" s="3"/>
      <c r="W19" s="3"/>
      <c r="X19" s="3"/>
      <c r="AJ19" s="3"/>
      <c r="AK19" s="3"/>
      <c r="AL19" s="3"/>
      <c r="AM19" s="3"/>
      <c r="AN19" s="3"/>
    </row>
    <row r="20" spans="2:40" ht="18" customHeight="1" x14ac:dyDescent="0.2">
      <c r="T20" s="3"/>
      <c r="U20" s="3"/>
      <c r="V20" s="3"/>
      <c r="W20" s="3"/>
      <c r="X20" s="3"/>
      <c r="AJ20" s="3"/>
      <c r="AK20" s="3"/>
      <c r="AL20" s="3"/>
      <c r="AM20" s="3"/>
      <c r="AN20" s="3"/>
    </row>
    <row r="21" spans="2:40" ht="18" customHeight="1" x14ac:dyDescent="0.2">
      <c r="T21" s="3"/>
      <c r="U21" s="3"/>
      <c r="V21" s="3"/>
      <c r="W21" s="3"/>
      <c r="X21" s="3"/>
      <c r="AJ21" s="3"/>
      <c r="AK21" s="3"/>
      <c r="AL21" s="3"/>
      <c r="AM21" s="3"/>
      <c r="AN21" s="3"/>
    </row>
    <row r="22" spans="2:40" ht="18" customHeight="1" x14ac:dyDescent="0.2">
      <c r="T22" s="3"/>
      <c r="U22" s="3"/>
      <c r="V22" s="3"/>
      <c r="W22" s="3"/>
      <c r="X22" s="3"/>
      <c r="AJ22" s="3"/>
      <c r="AK22" s="3"/>
      <c r="AL22" s="3"/>
      <c r="AM22" s="3"/>
      <c r="AN22" s="3"/>
    </row>
    <row r="23" spans="2:40" ht="18" customHeight="1" x14ac:dyDescent="0.2">
      <c r="T23" s="3"/>
      <c r="U23" s="3"/>
      <c r="V23" s="3"/>
      <c r="W23" s="3"/>
      <c r="X23" s="3"/>
      <c r="AJ23" s="3"/>
      <c r="AK23" s="3"/>
      <c r="AL23" s="3"/>
      <c r="AM23" s="3"/>
      <c r="AN23" s="3"/>
    </row>
    <row r="24" spans="2:40" ht="18" customHeight="1" x14ac:dyDescent="0.2">
      <c r="T24" s="3"/>
      <c r="U24" s="3"/>
      <c r="V24" s="3"/>
      <c r="W24" s="3"/>
      <c r="X24" s="3"/>
      <c r="AJ24" s="3"/>
      <c r="AK24" s="3"/>
      <c r="AL24" s="3"/>
      <c r="AM24" s="3"/>
      <c r="AN24" s="3"/>
    </row>
    <row r="25" spans="2:40" ht="18" customHeight="1" x14ac:dyDescent="0.2">
      <c r="T25" s="3"/>
      <c r="U25" s="3"/>
      <c r="V25" s="3"/>
      <c r="W25" s="3"/>
      <c r="X25" s="3"/>
      <c r="AJ25" s="3"/>
      <c r="AK25" s="3"/>
      <c r="AL25" s="3"/>
      <c r="AM25" s="3"/>
      <c r="AN25" s="3"/>
    </row>
    <row r="26" spans="2:40" ht="18" customHeight="1" x14ac:dyDescent="0.2">
      <c r="T26" s="3"/>
      <c r="U26" s="3"/>
      <c r="V26" s="3"/>
      <c r="W26" s="3"/>
      <c r="X26" s="3"/>
      <c r="AJ26" s="3"/>
      <c r="AK26" s="3"/>
      <c r="AL26" s="3"/>
      <c r="AM26" s="3"/>
      <c r="AN26" s="3"/>
    </row>
    <row r="27" spans="2:40" ht="18" customHeight="1" x14ac:dyDescent="0.2">
      <c r="T27" s="3"/>
      <c r="U27" s="3"/>
      <c r="V27" s="3"/>
      <c r="W27" s="3"/>
      <c r="X27" s="3"/>
      <c r="AJ27" s="3"/>
      <c r="AK27" s="3"/>
      <c r="AL27" s="3"/>
      <c r="AM27" s="3"/>
      <c r="AN27" s="3"/>
    </row>
    <row r="28" spans="2:40" ht="18" customHeight="1" x14ac:dyDescent="0.2">
      <c r="T28" s="3"/>
      <c r="U28" s="3"/>
      <c r="V28" s="3"/>
      <c r="W28" s="3"/>
      <c r="X28" s="3"/>
      <c r="AJ28" s="3"/>
      <c r="AK28" s="3"/>
      <c r="AL28" s="3"/>
      <c r="AM28" s="3"/>
      <c r="AN28" s="3"/>
    </row>
    <row r="29" spans="2:40" ht="18" customHeight="1" x14ac:dyDescent="0.2">
      <c r="T29" s="3"/>
      <c r="U29" s="3"/>
      <c r="V29" s="3"/>
      <c r="W29" s="3"/>
      <c r="X29" s="3"/>
      <c r="AJ29" s="3"/>
      <c r="AK29" s="3"/>
      <c r="AL29" s="3"/>
      <c r="AM29" s="3"/>
      <c r="AN29" s="3"/>
    </row>
    <row r="30" spans="2:40" ht="18" customHeight="1" x14ac:dyDescent="0.2">
      <c r="T30" s="3"/>
      <c r="U30" s="3"/>
      <c r="V30" s="3"/>
      <c r="W30" s="3"/>
      <c r="X30" s="3"/>
      <c r="AJ30" s="3"/>
      <c r="AK30" s="3"/>
      <c r="AL30" s="3"/>
      <c r="AM30" s="3"/>
      <c r="AN30" s="3"/>
    </row>
    <row r="31" spans="2:40" ht="18" customHeight="1" x14ac:dyDescent="0.2">
      <c r="T31" s="3"/>
      <c r="U31" s="3"/>
      <c r="V31" s="3"/>
      <c r="W31" s="3"/>
      <c r="X31" s="3"/>
      <c r="AJ31" s="3"/>
      <c r="AK31" s="3"/>
      <c r="AL31" s="3"/>
      <c r="AM31" s="3"/>
      <c r="AN31" s="3"/>
    </row>
    <row r="32" spans="2:40" ht="18" customHeight="1" x14ac:dyDescent="0.2">
      <c r="T32" s="3"/>
      <c r="U32" s="3"/>
      <c r="V32" s="3"/>
      <c r="W32" s="3"/>
      <c r="X32" s="3"/>
      <c r="AJ32" s="3"/>
      <c r="AK32" s="3"/>
      <c r="AL32" s="3"/>
      <c r="AM32" s="3"/>
      <c r="AN32" s="3"/>
    </row>
    <row r="33" spans="2:40" ht="18" customHeight="1" x14ac:dyDescent="0.2">
      <c r="T33" s="3"/>
      <c r="U33" s="3"/>
      <c r="V33" s="3"/>
      <c r="W33" s="3"/>
      <c r="X33" s="3"/>
      <c r="AJ33" s="3"/>
      <c r="AK33" s="3"/>
      <c r="AL33" s="3"/>
      <c r="AM33" s="3"/>
      <c r="AN33" s="3"/>
    </row>
    <row r="34" spans="2:40" ht="18" customHeight="1" x14ac:dyDescent="0.2">
      <c r="T34" s="3"/>
      <c r="U34" s="3"/>
      <c r="V34" s="3"/>
      <c r="W34" s="3"/>
      <c r="X34" s="3"/>
      <c r="AJ34" s="3"/>
      <c r="AK34" s="3"/>
      <c r="AL34" s="3"/>
      <c r="AM34" s="3"/>
      <c r="AN34" s="3"/>
    </row>
    <row r="35" spans="2:40" ht="18" customHeight="1" x14ac:dyDescent="0.2">
      <c r="T35" s="3"/>
      <c r="U35" s="3"/>
      <c r="V35" s="3"/>
      <c r="W35" s="3"/>
      <c r="X35" s="3"/>
      <c r="AJ35" s="3"/>
      <c r="AK35" s="3"/>
      <c r="AL35" s="3"/>
      <c r="AM35" s="3"/>
      <c r="AN35" s="3"/>
    </row>
    <row r="36" spans="2:40" ht="18" customHeight="1" x14ac:dyDescent="0.2">
      <c r="T36" s="3"/>
      <c r="U36" s="3"/>
      <c r="V36" s="3"/>
      <c r="W36" s="3"/>
      <c r="X36" s="3"/>
      <c r="AJ36" s="3"/>
      <c r="AK36" s="3"/>
      <c r="AL36" s="3"/>
      <c r="AM36" s="3"/>
      <c r="AN36" s="3"/>
    </row>
    <row r="37" spans="2:40" ht="18" customHeight="1" x14ac:dyDescent="0.2">
      <c r="T37" s="3"/>
      <c r="U37" s="3"/>
      <c r="V37" s="3"/>
      <c r="W37" s="3"/>
      <c r="X37" s="3"/>
      <c r="AJ37" s="3"/>
      <c r="AK37" s="3"/>
      <c r="AL37" s="3"/>
      <c r="AM37" s="3"/>
      <c r="AN37" s="3"/>
    </row>
    <row r="38" spans="2:40" ht="18" customHeight="1" x14ac:dyDescent="0.2">
      <c r="T38" s="3"/>
      <c r="U38" s="3"/>
      <c r="V38" s="3"/>
      <c r="W38" s="3"/>
      <c r="X38" s="3"/>
      <c r="AJ38" s="3"/>
      <c r="AK38" s="3"/>
      <c r="AL38" s="3"/>
      <c r="AM38" s="3"/>
      <c r="AN38" s="3"/>
    </row>
    <row r="39" spans="2:40" ht="18" customHeight="1" x14ac:dyDescent="0.2">
      <c r="T39" s="3"/>
      <c r="U39" s="3"/>
      <c r="V39" s="3"/>
      <c r="W39" s="3"/>
      <c r="X39" s="3"/>
      <c r="AJ39" s="3"/>
      <c r="AK39" s="3"/>
      <c r="AL39" s="3"/>
      <c r="AM39" s="3"/>
      <c r="AN39" s="3"/>
    </row>
    <row r="40" spans="2:40" ht="18" customHeight="1" x14ac:dyDescent="0.2">
      <c r="B40" s="3"/>
      <c r="C40" s="3"/>
      <c r="T40" s="3"/>
      <c r="U40" s="3"/>
      <c r="V40" s="3"/>
      <c r="W40" s="3"/>
      <c r="X40" s="3"/>
      <c r="AJ40" s="3"/>
      <c r="AK40" s="3"/>
      <c r="AL40" s="3"/>
      <c r="AM40" s="3"/>
      <c r="AN40" s="3"/>
    </row>
    <row r="41" spans="2:40" ht="18" customHeight="1" x14ac:dyDescent="0.2">
      <c r="B41" s="3"/>
      <c r="C41" s="3"/>
      <c r="T41" s="3"/>
      <c r="U41" s="3"/>
      <c r="V41" s="3"/>
      <c r="W41" s="3"/>
      <c r="X41" s="3"/>
      <c r="AJ41" s="3"/>
      <c r="AK41" s="3"/>
      <c r="AL41" s="3"/>
      <c r="AM41" s="3"/>
      <c r="AN41" s="3"/>
    </row>
    <row r="42" spans="2:40" ht="18" customHeight="1" x14ac:dyDescent="0.2">
      <c r="B42" s="3"/>
      <c r="C42" s="3"/>
      <c r="T42" s="3"/>
      <c r="U42" s="3"/>
      <c r="V42" s="3"/>
      <c r="W42" s="3"/>
      <c r="X42" s="3"/>
      <c r="AJ42" s="3"/>
      <c r="AK42" s="3"/>
      <c r="AL42" s="3"/>
      <c r="AM42" s="3"/>
      <c r="AN42" s="3"/>
    </row>
    <row r="43" spans="2:40" ht="18" customHeight="1" x14ac:dyDescent="0.2">
      <c r="B43" s="3"/>
      <c r="C43" s="3"/>
      <c r="T43" s="3"/>
      <c r="U43" s="3"/>
      <c r="V43" s="3"/>
      <c r="W43" s="3"/>
      <c r="X43" s="3"/>
      <c r="AJ43" s="3"/>
      <c r="AK43" s="3"/>
      <c r="AL43" s="3"/>
      <c r="AM43" s="3"/>
      <c r="AN43" s="3"/>
    </row>
    <row r="44" spans="2:40" ht="18" customHeight="1" x14ac:dyDescent="0.2">
      <c r="B44" s="3"/>
      <c r="T44" s="3"/>
      <c r="U44" s="3"/>
      <c r="V44" s="3"/>
      <c r="W44" s="3"/>
      <c r="X44" s="3"/>
      <c r="AJ44" s="3"/>
      <c r="AK44" s="3"/>
      <c r="AL44" s="3"/>
      <c r="AM44" s="3"/>
      <c r="AN44" s="3"/>
    </row>
    <row r="45" spans="2:40" ht="18" customHeight="1" x14ac:dyDescent="0.2">
      <c r="B45" s="3"/>
      <c r="T45" s="3"/>
      <c r="U45" s="3"/>
      <c r="V45" s="3"/>
      <c r="W45" s="3"/>
      <c r="X45" s="3"/>
      <c r="AJ45" s="3"/>
      <c r="AK45" s="3"/>
      <c r="AL45" s="3"/>
      <c r="AM45" s="3"/>
      <c r="AN45" s="3"/>
    </row>
    <row r="46" spans="2:40" ht="18" customHeight="1" x14ac:dyDescent="0.2">
      <c r="B46" s="3"/>
      <c r="C46" s="3"/>
      <c r="T46" s="3"/>
      <c r="U46" s="3"/>
      <c r="V46" s="3"/>
      <c r="W46" s="3"/>
      <c r="X46" s="3"/>
      <c r="AJ46" s="3"/>
      <c r="AK46" s="3"/>
      <c r="AL46" s="3"/>
      <c r="AM46" s="3"/>
      <c r="AN46" s="3"/>
    </row>
    <row r="47" spans="2:40" ht="18" customHeight="1" x14ac:dyDescent="0.2">
      <c r="B47" s="3"/>
      <c r="C47" s="3"/>
      <c r="T47" s="3"/>
      <c r="U47" s="3"/>
      <c r="V47" s="3"/>
      <c r="W47" s="3"/>
      <c r="X47" s="3"/>
      <c r="AJ47" s="3"/>
      <c r="AK47" s="3"/>
      <c r="AL47" s="3"/>
      <c r="AM47" s="3"/>
      <c r="AN47" s="3"/>
    </row>
    <row r="48" spans="2:40" ht="18" customHeight="1" x14ac:dyDescent="0.2">
      <c r="B48" s="3"/>
      <c r="C48" s="3"/>
      <c r="T48" s="3"/>
      <c r="U48" s="3"/>
      <c r="V48" s="3"/>
      <c r="W48" s="3"/>
      <c r="X48" s="3"/>
      <c r="AJ48" s="3"/>
      <c r="AK48" s="3"/>
      <c r="AL48" s="3"/>
      <c r="AM48" s="3"/>
      <c r="AN48" s="3"/>
    </row>
    <row r="49" spans="1:40" ht="18" customHeight="1" x14ac:dyDescent="0.2">
      <c r="B49" s="3"/>
      <c r="C49" s="3"/>
      <c r="T49" s="3"/>
      <c r="U49" s="3"/>
      <c r="V49" s="3"/>
      <c r="W49" s="3"/>
      <c r="X49" s="3"/>
      <c r="AJ49" s="3"/>
      <c r="AK49" s="3"/>
      <c r="AL49" s="3"/>
      <c r="AM49" s="3"/>
      <c r="AN49" s="3"/>
    </row>
    <row r="50" spans="1:40" ht="18" customHeight="1" x14ac:dyDescent="0.2">
      <c r="T50" s="3"/>
      <c r="U50" s="3"/>
      <c r="V50" s="3"/>
      <c r="W50" s="3"/>
      <c r="X50" s="3"/>
      <c r="AJ50" s="3"/>
      <c r="AK50" s="3"/>
      <c r="AL50" s="3"/>
      <c r="AM50" s="3"/>
      <c r="AN50" s="3"/>
    </row>
    <row r="51" spans="1:40" ht="18" customHeight="1" x14ac:dyDescent="0.2">
      <c r="B51" s="3"/>
      <c r="T51" s="3"/>
      <c r="U51" s="3"/>
      <c r="V51" s="3"/>
      <c r="W51" s="3"/>
      <c r="X51" s="3"/>
      <c r="AJ51" s="3"/>
      <c r="AK51" s="3"/>
      <c r="AL51" s="3"/>
      <c r="AM51" s="3"/>
      <c r="AN51" s="3"/>
    </row>
    <row r="52" spans="1:40" ht="18" customHeight="1" x14ac:dyDescent="0.2">
      <c r="C52" s="3"/>
      <c r="X52" s="3"/>
      <c r="AL52" s="3"/>
      <c r="AM52" s="3"/>
      <c r="AN52" s="3"/>
    </row>
    <row r="53" spans="1:40" ht="18" customHeight="1" x14ac:dyDescent="0.2">
      <c r="A53" s="2"/>
    </row>
    <row r="54" spans="1:40" ht="18" customHeight="1" x14ac:dyDescent="0.2">
      <c r="B54" s="3"/>
      <c r="AJ54" s="3"/>
      <c r="AK54" s="3"/>
      <c r="AL54" s="3"/>
      <c r="AM54" s="3"/>
      <c r="AN54" s="3"/>
    </row>
    <row r="55" spans="1:40" ht="18" customHeight="1" x14ac:dyDescent="0.2">
      <c r="B55" s="3"/>
      <c r="C55" s="3"/>
      <c r="AJ55" s="3"/>
      <c r="AK55" s="3"/>
      <c r="AL55" s="3"/>
      <c r="AM55" s="3"/>
      <c r="AN55" s="3"/>
    </row>
    <row r="56" spans="1:40" ht="18" customHeight="1" x14ac:dyDescent="0.2">
      <c r="AJ56" s="3"/>
      <c r="AK56" s="3"/>
      <c r="AL56" s="3"/>
      <c r="AM56" s="3"/>
      <c r="AN56" s="3"/>
    </row>
    <row r="57" spans="1:40" ht="18" customHeight="1" x14ac:dyDescent="0.2">
      <c r="AJ57" s="3"/>
      <c r="AK57" s="3"/>
      <c r="AL57" s="3"/>
      <c r="AM57" s="3"/>
      <c r="AN57" s="3"/>
    </row>
    <row r="58" spans="1:40" ht="18" customHeight="1" x14ac:dyDescent="0.2">
      <c r="AJ58" s="3"/>
      <c r="AK58" s="3"/>
      <c r="AL58" s="3"/>
      <c r="AM58" s="3"/>
      <c r="AN58" s="3"/>
    </row>
    <row r="59" spans="1:40" ht="18" customHeight="1" x14ac:dyDescent="0.2">
      <c r="AJ59" s="3"/>
      <c r="AK59" s="3"/>
      <c r="AL59" s="3"/>
      <c r="AM59" s="3"/>
      <c r="AN59" s="3"/>
    </row>
    <row r="60" spans="1:40" ht="18" customHeight="1" x14ac:dyDescent="0.2">
      <c r="AJ60" s="3"/>
      <c r="AK60" s="3"/>
      <c r="AL60" s="3"/>
      <c r="AM60" s="3"/>
      <c r="AN60" s="3"/>
    </row>
    <row r="61" spans="1:40" ht="18" customHeight="1" x14ac:dyDescent="0.2">
      <c r="AJ61" s="3"/>
      <c r="AK61" s="3"/>
      <c r="AL61" s="3"/>
      <c r="AM61" s="3"/>
      <c r="AN61" s="3"/>
    </row>
    <row r="62" spans="1:40" ht="18" customHeight="1" x14ac:dyDescent="0.2">
      <c r="AJ62" s="3"/>
      <c r="AK62" s="3"/>
      <c r="AL62" s="3"/>
      <c r="AM62" s="3"/>
      <c r="AN62" s="3"/>
    </row>
    <row r="63" spans="1:40" ht="18" customHeight="1" x14ac:dyDescent="0.2">
      <c r="AJ63" s="3"/>
      <c r="AK63" s="3"/>
      <c r="AL63" s="3"/>
      <c r="AM63" s="3"/>
      <c r="AN63" s="3"/>
    </row>
    <row r="64" spans="1:40" ht="18" customHeight="1" x14ac:dyDescent="0.2">
      <c r="AJ64" s="3"/>
      <c r="AK64" s="3"/>
      <c r="AL64" s="3"/>
    </row>
    <row r="65" spans="36:38" ht="18" customHeight="1" x14ac:dyDescent="0.2">
      <c r="AJ65" s="3"/>
      <c r="AK65" s="3"/>
      <c r="AL65" s="3"/>
    </row>
  </sheetData>
  <phoneticPr fontId="16" type="noConversion"/>
  <conditionalFormatting sqref="I64:I65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{F61B7EBF-D7B5-4CAB-85F8-4FA713B6BE78}</x14:id>
        </ext>
      </extLst>
    </cfRule>
  </conditionalFormatting>
  <conditionalFormatting sqref="C64:I65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{02C59937-6F13-44CE-BD1A-7184885F58A0}</x14:id>
        </ext>
      </extLst>
    </cfRule>
  </conditionalFormatting>
  <pageMargins left="0.7" right="0.7" top="0.75" bottom="0.75" header="0.3" footer="0.3"/>
  <pageSetup paperSize="9" orientation="portrait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61B7EBF-D7B5-4CAB-85F8-4FA713B6BE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I64:I65</xm:sqref>
        </x14:conditionalFormatting>
        <x14:conditionalFormatting xmlns:xm="http://schemas.microsoft.com/office/excel/2006/main">
          <x14:cfRule type="dataBar" id="{02C59937-6F13-44CE-BD1A-7184885F58A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C64:I65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D231F-4BB7-4D5F-BF19-B586B5862741}">
  <sheetPr codeName="Sheet9"/>
  <dimension ref="A1:AW65"/>
  <sheetViews>
    <sheetView workbookViewId="0">
      <pane xSplit="1" ySplit="2" topLeftCell="B3" activePane="bottomRight" state="frozen"/>
      <selection pane="topRight"/>
      <selection pane="bottomLeft"/>
      <selection pane="bottomRight" activeCell="A2" sqref="A2:D2"/>
    </sheetView>
  </sheetViews>
  <sheetFormatPr defaultColWidth="16.625" defaultRowHeight="18" customHeight="1" x14ac:dyDescent="0.2"/>
  <cols>
    <col min="1" max="1" width="16.625" style="24"/>
    <col min="2" max="2" width="16.5" style="2" customWidth="1"/>
    <col min="3" max="44" width="16.625" style="2"/>
    <col min="45" max="45" width="16.625" style="2" customWidth="1"/>
    <col min="46" max="16384" width="16.625" style="2"/>
  </cols>
  <sheetData>
    <row r="1" spans="1:49" s="4" customFormat="1" ht="18" customHeight="1" x14ac:dyDescent="0.2">
      <c r="A1" s="35" t="s">
        <v>392</v>
      </c>
      <c r="B1" s="37" t="s">
        <v>412</v>
      </c>
      <c r="C1" s="37" t="s">
        <v>413</v>
      </c>
      <c r="D1" s="37" t="s">
        <v>414</v>
      </c>
      <c r="E1" s="37" t="s">
        <v>415</v>
      </c>
      <c r="F1" s="37" t="s">
        <v>416</v>
      </c>
      <c r="G1" s="37" t="s">
        <v>417</v>
      </c>
      <c r="I1" s="10" t="s">
        <v>53</v>
      </c>
      <c r="J1" s="10" t="s">
        <v>54</v>
      </c>
    </row>
    <row r="2" spans="1:49" s="4" customFormat="1" ht="18" customHeight="1" x14ac:dyDescent="0.2">
      <c r="A2" s="25" t="s">
        <v>14</v>
      </c>
      <c r="B2" s="37" t="s">
        <v>387</v>
      </c>
      <c r="C2" s="37" t="s">
        <v>387</v>
      </c>
      <c r="D2" s="37" t="s">
        <v>387</v>
      </c>
      <c r="E2" s="37" t="s">
        <v>387</v>
      </c>
      <c r="F2" s="37" t="s">
        <v>387</v>
      </c>
      <c r="G2" s="37" t="s">
        <v>383</v>
      </c>
      <c r="I2" s="10" t="s">
        <v>14</v>
      </c>
      <c r="J2" s="10"/>
    </row>
    <row r="3" spans="1:49" ht="18" customHeight="1" x14ac:dyDescent="0.2">
      <c r="A3" s="2" t="s">
        <v>393</v>
      </c>
      <c r="B3" s="2">
        <v>200000</v>
      </c>
      <c r="C3" s="2">
        <v>300</v>
      </c>
      <c r="D3" s="2">
        <v>0.4</v>
      </c>
      <c r="E3" s="2">
        <v>0.4</v>
      </c>
      <c r="F3" s="2">
        <v>0</v>
      </c>
      <c r="G3" s="2">
        <v>0</v>
      </c>
      <c r="I3" s="38" t="s">
        <v>411</v>
      </c>
      <c r="J3" s="2" t="str">
        <f>A3</f>
        <v>金疮药</v>
      </c>
      <c r="X3" s="3"/>
      <c r="AJ3" s="3"/>
      <c r="AK3" s="3"/>
      <c r="AL3" s="3"/>
      <c r="AM3" s="3"/>
      <c r="AN3" s="3"/>
      <c r="AS3" s="24"/>
      <c r="AW3" s="24"/>
    </row>
    <row r="4" spans="1:49" ht="18" customHeight="1" x14ac:dyDescent="0.2">
      <c r="A4" s="2" t="s">
        <v>394</v>
      </c>
      <c r="B4" s="2">
        <v>600000</v>
      </c>
      <c r="C4" s="2">
        <v>600</v>
      </c>
      <c r="D4" s="2">
        <v>1.2</v>
      </c>
      <c r="E4" s="2">
        <v>1.2</v>
      </c>
      <c r="F4" s="2">
        <v>4000</v>
      </c>
      <c r="G4" s="2">
        <v>10</v>
      </c>
      <c r="I4" s="38" t="s">
        <v>411</v>
      </c>
      <c r="J4" s="2" t="s">
        <v>394</v>
      </c>
      <c r="X4" s="3"/>
      <c r="AJ4" s="3"/>
      <c r="AK4" s="3"/>
      <c r="AL4" s="3"/>
      <c r="AM4" s="3"/>
      <c r="AN4" s="3"/>
    </row>
    <row r="5" spans="1:49" ht="18" customHeight="1" x14ac:dyDescent="0.2">
      <c r="A5" s="2" t="s">
        <v>395</v>
      </c>
      <c r="B5" s="2">
        <v>1600000</v>
      </c>
      <c r="C5" s="2">
        <v>900</v>
      </c>
      <c r="D5" s="2">
        <v>3.2</v>
      </c>
      <c r="E5" s="2">
        <v>3.2</v>
      </c>
      <c r="F5" s="2">
        <v>8000</v>
      </c>
      <c r="G5" s="2">
        <v>20</v>
      </c>
      <c r="I5" s="38" t="s">
        <v>411</v>
      </c>
      <c r="J5" s="2" t="s">
        <v>395</v>
      </c>
      <c r="T5" s="3"/>
      <c r="U5" s="3"/>
      <c r="V5" s="3"/>
      <c r="W5" s="3"/>
      <c r="X5" s="3"/>
      <c r="AJ5" s="3"/>
      <c r="AK5" s="3"/>
      <c r="AL5" s="3"/>
      <c r="AM5" s="3"/>
      <c r="AN5" s="3"/>
      <c r="AS5" s="24"/>
      <c r="AW5" s="24"/>
    </row>
    <row r="6" spans="1:49" ht="18" customHeight="1" x14ac:dyDescent="0.2">
      <c r="A6" s="2" t="s">
        <v>396</v>
      </c>
      <c r="B6" s="2">
        <v>3600000</v>
      </c>
      <c r="C6" s="2">
        <v>1500</v>
      </c>
      <c r="D6" s="2">
        <v>7.2</v>
      </c>
      <c r="E6" s="2">
        <v>7.2</v>
      </c>
      <c r="F6" s="2">
        <v>20000</v>
      </c>
      <c r="G6" s="2">
        <v>30</v>
      </c>
      <c r="I6" s="38" t="s">
        <v>411</v>
      </c>
      <c r="J6" s="2" t="s">
        <v>396</v>
      </c>
      <c r="T6" s="3"/>
      <c r="U6" s="3"/>
      <c r="V6" s="3"/>
      <c r="W6" s="3"/>
      <c r="X6" s="3"/>
      <c r="AJ6" s="3"/>
      <c r="AK6" s="3"/>
      <c r="AL6" s="3"/>
      <c r="AM6" s="3"/>
      <c r="AN6" s="3"/>
      <c r="AO6" s="4"/>
    </row>
    <row r="7" spans="1:49" ht="18" customHeight="1" x14ac:dyDescent="0.2">
      <c r="A7" s="2" t="s">
        <v>397</v>
      </c>
      <c r="B7" s="2">
        <v>6000000</v>
      </c>
      <c r="C7" s="2">
        <v>3000</v>
      </c>
      <c r="D7" s="2">
        <v>12</v>
      </c>
      <c r="E7" s="2">
        <v>12</v>
      </c>
      <c r="F7" s="2">
        <v>40000</v>
      </c>
      <c r="G7" s="2">
        <v>40</v>
      </c>
      <c r="I7" s="38" t="s">
        <v>411</v>
      </c>
      <c r="J7" s="2" t="s">
        <v>397</v>
      </c>
      <c r="T7" s="3"/>
      <c r="U7" s="3"/>
      <c r="V7" s="3"/>
      <c r="W7" s="3"/>
      <c r="X7" s="3"/>
      <c r="AJ7" s="3"/>
      <c r="AK7" s="3"/>
      <c r="AL7" s="3"/>
      <c r="AM7" s="3"/>
      <c r="AN7" s="3"/>
      <c r="AS7" s="24"/>
      <c r="AW7" s="24"/>
    </row>
    <row r="8" spans="1:49" ht="18" customHeight="1" x14ac:dyDescent="0.2">
      <c r="A8" s="2" t="s">
        <v>398</v>
      </c>
      <c r="B8" s="2">
        <v>10000000</v>
      </c>
      <c r="C8" s="2">
        <v>4500</v>
      </c>
      <c r="D8" s="2">
        <v>20</v>
      </c>
      <c r="E8" s="2">
        <v>20</v>
      </c>
      <c r="F8" s="2">
        <v>80000</v>
      </c>
      <c r="G8" s="2">
        <v>50</v>
      </c>
      <c r="I8" s="38" t="s">
        <v>411</v>
      </c>
      <c r="J8" s="2" t="s">
        <v>398</v>
      </c>
      <c r="T8" s="3"/>
      <c r="U8" s="3"/>
      <c r="V8" s="3"/>
      <c r="W8" s="3"/>
      <c r="X8" s="3"/>
      <c r="AJ8" s="3"/>
      <c r="AK8" s="3"/>
      <c r="AL8" s="3"/>
      <c r="AM8" s="3"/>
      <c r="AN8" s="3"/>
    </row>
    <row r="9" spans="1:49" ht="18" customHeight="1" x14ac:dyDescent="0.2">
      <c r="A9" s="2" t="s">
        <v>399</v>
      </c>
      <c r="B9" s="2">
        <v>14000000</v>
      </c>
      <c r="C9" s="2">
        <v>6000</v>
      </c>
      <c r="D9" s="2">
        <v>28</v>
      </c>
      <c r="E9" s="2">
        <v>28</v>
      </c>
      <c r="F9" s="2">
        <v>150000</v>
      </c>
      <c r="G9" s="2">
        <v>60</v>
      </c>
      <c r="I9" s="38" t="s">
        <v>411</v>
      </c>
      <c r="J9" s="2" t="s">
        <v>399</v>
      </c>
      <c r="T9" s="3"/>
      <c r="U9" s="3"/>
      <c r="V9" s="3"/>
      <c r="W9" s="3"/>
      <c r="X9" s="3"/>
      <c r="AJ9" s="3"/>
      <c r="AK9" s="3"/>
      <c r="AL9" s="3"/>
      <c r="AM9" s="3"/>
      <c r="AN9" s="3"/>
      <c r="AS9" s="24"/>
      <c r="AW9" s="24"/>
    </row>
    <row r="10" spans="1:49" ht="18" customHeight="1" x14ac:dyDescent="0.2">
      <c r="A10" s="2" t="s">
        <v>400</v>
      </c>
      <c r="B10" s="2">
        <v>18000000</v>
      </c>
      <c r="C10" s="2">
        <v>7500</v>
      </c>
      <c r="D10" s="2">
        <v>36</v>
      </c>
      <c r="E10" s="2">
        <v>36</v>
      </c>
      <c r="F10" s="2">
        <v>300000</v>
      </c>
      <c r="G10" s="2">
        <v>70</v>
      </c>
      <c r="I10" s="38" t="s">
        <v>411</v>
      </c>
      <c r="J10" s="2" t="s">
        <v>400</v>
      </c>
      <c r="T10" s="3"/>
      <c r="U10" s="3"/>
      <c r="V10" s="3"/>
      <c r="W10" s="3"/>
      <c r="X10" s="3"/>
      <c r="AJ10" s="3"/>
      <c r="AK10" s="3"/>
      <c r="AL10" s="3"/>
      <c r="AM10" s="3"/>
      <c r="AN10" s="3"/>
    </row>
    <row r="11" spans="1:49" ht="18" customHeight="1" x14ac:dyDescent="0.2">
      <c r="A11" s="2" t="s">
        <v>401</v>
      </c>
      <c r="B11" s="2">
        <v>24000000</v>
      </c>
      <c r="C11" s="2">
        <v>9000</v>
      </c>
      <c r="D11" s="2">
        <v>48</v>
      </c>
      <c r="E11" s="2">
        <v>48</v>
      </c>
      <c r="F11" s="2">
        <v>600000</v>
      </c>
      <c r="G11" s="2">
        <v>80</v>
      </c>
      <c r="I11" s="38" t="s">
        <v>411</v>
      </c>
      <c r="J11" s="2" t="s">
        <v>401</v>
      </c>
      <c r="T11" s="3"/>
      <c r="U11" s="3"/>
      <c r="V11" s="3"/>
      <c r="W11" s="3"/>
      <c r="X11" s="3"/>
      <c r="AJ11" s="3"/>
      <c r="AK11" s="3"/>
      <c r="AL11" s="3"/>
      <c r="AM11" s="3"/>
      <c r="AN11" s="3"/>
    </row>
    <row r="12" spans="1:49" ht="18" customHeight="1" x14ac:dyDescent="0.2">
      <c r="A12" s="2" t="s">
        <v>402</v>
      </c>
      <c r="B12" s="2">
        <v>32000000</v>
      </c>
      <c r="C12" s="2">
        <v>10500</v>
      </c>
      <c r="D12" s="2">
        <v>64</v>
      </c>
      <c r="E12" s="2">
        <v>64</v>
      </c>
      <c r="F12" s="2">
        <v>1200000</v>
      </c>
      <c r="G12" s="2">
        <v>90</v>
      </c>
      <c r="I12" s="38" t="s">
        <v>411</v>
      </c>
      <c r="J12" s="2" t="s">
        <v>402</v>
      </c>
      <c r="T12" s="3"/>
      <c r="U12" s="3"/>
      <c r="V12" s="3"/>
      <c r="W12" s="3"/>
      <c r="X12" s="3"/>
      <c r="AJ12" s="3"/>
      <c r="AK12" s="3"/>
      <c r="AL12" s="3"/>
      <c r="AM12" s="3"/>
      <c r="AN12" s="3"/>
    </row>
    <row r="13" spans="1:49" ht="18" customHeight="1" x14ac:dyDescent="0.2">
      <c r="A13" s="2" t="s">
        <v>403</v>
      </c>
      <c r="B13" s="2">
        <v>40000000</v>
      </c>
      <c r="C13" s="2">
        <v>12000</v>
      </c>
      <c r="D13" s="2">
        <v>80</v>
      </c>
      <c r="E13" s="2">
        <v>80</v>
      </c>
      <c r="F13" s="2">
        <v>2400000</v>
      </c>
      <c r="G13" s="2">
        <v>100</v>
      </c>
      <c r="I13" s="38" t="s">
        <v>411</v>
      </c>
      <c r="J13" s="2" t="s">
        <v>403</v>
      </c>
      <c r="T13" s="3"/>
      <c r="U13" s="3"/>
      <c r="V13" s="3"/>
      <c r="W13" s="3"/>
      <c r="X13" s="3"/>
      <c r="AJ13" s="3"/>
      <c r="AK13" s="3"/>
      <c r="AL13" s="3"/>
      <c r="AM13" s="3"/>
      <c r="AN13" s="3"/>
    </row>
    <row r="14" spans="1:49" ht="18" customHeight="1" x14ac:dyDescent="0.2">
      <c r="A14" s="2" t="s">
        <v>404</v>
      </c>
      <c r="B14" s="2">
        <v>48000000</v>
      </c>
      <c r="C14" s="2">
        <v>13500</v>
      </c>
      <c r="D14" s="2">
        <v>96</v>
      </c>
      <c r="E14" s="2">
        <v>96</v>
      </c>
      <c r="F14" s="2">
        <v>4800000</v>
      </c>
      <c r="G14" s="2">
        <v>110</v>
      </c>
      <c r="I14" s="38" t="s">
        <v>411</v>
      </c>
      <c r="J14" s="2" t="s">
        <v>404</v>
      </c>
      <c r="T14" s="3"/>
      <c r="U14" s="3"/>
      <c r="V14" s="3"/>
      <c r="W14" s="3"/>
      <c r="X14" s="3"/>
      <c r="AJ14" s="3"/>
      <c r="AK14" s="3"/>
      <c r="AL14" s="3"/>
      <c r="AM14" s="3"/>
      <c r="AN14" s="3"/>
    </row>
    <row r="15" spans="1:49" ht="18" customHeight="1" x14ac:dyDescent="0.2">
      <c r="A15" s="2" t="s">
        <v>405</v>
      </c>
      <c r="B15" s="2">
        <v>58000000</v>
      </c>
      <c r="C15" s="2">
        <v>15000</v>
      </c>
      <c r="D15" s="2">
        <v>116</v>
      </c>
      <c r="E15" s="2">
        <v>116</v>
      </c>
      <c r="F15" s="2">
        <v>9600000</v>
      </c>
      <c r="G15" s="2">
        <v>120</v>
      </c>
      <c r="I15" s="38" t="s">
        <v>411</v>
      </c>
      <c r="J15" s="2" t="s">
        <v>405</v>
      </c>
      <c r="T15" s="3"/>
      <c r="U15" s="3"/>
      <c r="V15" s="3"/>
      <c r="W15" s="3"/>
      <c r="X15" s="3"/>
      <c r="AJ15" s="3"/>
      <c r="AK15" s="3"/>
      <c r="AL15" s="3"/>
      <c r="AM15" s="3"/>
      <c r="AN15" s="3"/>
    </row>
    <row r="16" spans="1:49" ht="18" customHeight="1" x14ac:dyDescent="0.2">
      <c r="A16" s="2" t="s">
        <v>406</v>
      </c>
      <c r="B16" s="2">
        <v>64000000</v>
      </c>
      <c r="C16" s="2">
        <v>16500</v>
      </c>
      <c r="D16" s="2">
        <v>128</v>
      </c>
      <c r="E16" s="2">
        <v>128</v>
      </c>
      <c r="F16" s="2">
        <v>19200000</v>
      </c>
      <c r="G16" s="2">
        <v>130</v>
      </c>
      <c r="I16" s="38" t="s">
        <v>411</v>
      </c>
      <c r="J16" s="2" t="s">
        <v>406</v>
      </c>
      <c r="T16" s="3"/>
      <c r="U16" s="3"/>
      <c r="V16" s="3"/>
      <c r="W16" s="3"/>
      <c r="X16" s="3"/>
      <c r="AJ16" s="3"/>
      <c r="AK16" s="3"/>
      <c r="AL16" s="3"/>
      <c r="AM16" s="3"/>
      <c r="AN16" s="3"/>
    </row>
    <row r="17" spans="1:40" ht="18" customHeight="1" x14ac:dyDescent="0.2">
      <c r="A17" s="2" t="s">
        <v>407</v>
      </c>
      <c r="B17" s="2">
        <v>76000000</v>
      </c>
      <c r="C17" s="2">
        <v>18000</v>
      </c>
      <c r="D17" s="2">
        <v>152</v>
      </c>
      <c r="E17" s="2">
        <v>152</v>
      </c>
      <c r="F17" s="2">
        <v>38400000</v>
      </c>
      <c r="G17" s="2">
        <v>140</v>
      </c>
      <c r="I17" s="38" t="s">
        <v>411</v>
      </c>
      <c r="J17" s="2" t="s">
        <v>407</v>
      </c>
      <c r="T17" s="3"/>
      <c r="U17" s="3"/>
      <c r="V17" s="3"/>
      <c r="W17" s="3"/>
      <c r="X17" s="3"/>
      <c r="AJ17" s="3"/>
      <c r="AK17" s="3"/>
      <c r="AL17" s="3"/>
      <c r="AM17" s="3"/>
      <c r="AN17" s="3"/>
    </row>
    <row r="18" spans="1:40" ht="18" customHeight="1" x14ac:dyDescent="0.2">
      <c r="A18" s="2" t="s">
        <v>408</v>
      </c>
      <c r="B18" s="2">
        <v>88000000</v>
      </c>
      <c r="C18" s="2">
        <v>19500</v>
      </c>
      <c r="D18" s="2">
        <v>176</v>
      </c>
      <c r="E18" s="2">
        <v>176</v>
      </c>
      <c r="F18" s="2">
        <v>50000000</v>
      </c>
      <c r="G18" s="2">
        <v>150</v>
      </c>
      <c r="I18" s="38" t="s">
        <v>411</v>
      </c>
      <c r="J18" s="2" t="s">
        <v>408</v>
      </c>
      <c r="T18" s="3"/>
      <c r="U18" s="3"/>
      <c r="V18" s="3"/>
      <c r="W18" s="3"/>
      <c r="X18" s="3"/>
      <c r="AJ18" s="3"/>
      <c r="AK18" s="3"/>
      <c r="AL18" s="3"/>
      <c r="AM18" s="3"/>
      <c r="AN18" s="3"/>
    </row>
    <row r="19" spans="1:40" ht="18" customHeight="1" x14ac:dyDescent="0.2">
      <c r="A19" s="2" t="s">
        <v>409</v>
      </c>
      <c r="B19" s="2">
        <v>100000000</v>
      </c>
      <c r="C19" s="2">
        <v>21000</v>
      </c>
      <c r="D19" s="2">
        <v>200</v>
      </c>
      <c r="E19" s="2">
        <v>200</v>
      </c>
      <c r="F19" s="2">
        <v>50000000</v>
      </c>
      <c r="G19" s="2">
        <v>160</v>
      </c>
      <c r="I19" s="38" t="s">
        <v>411</v>
      </c>
      <c r="J19" s="2" t="s">
        <v>409</v>
      </c>
      <c r="T19" s="3"/>
      <c r="U19" s="3"/>
      <c r="V19" s="3"/>
      <c r="W19" s="3"/>
      <c r="X19" s="3"/>
      <c r="AJ19" s="3"/>
      <c r="AK19" s="3"/>
      <c r="AL19" s="3"/>
      <c r="AM19" s="3"/>
      <c r="AN19" s="3"/>
    </row>
    <row r="20" spans="1:40" ht="18" customHeight="1" x14ac:dyDescent="0.2">
      <c r="A20" s="2" t="s">
        <v>410</v>
      </c>
      <c r="B20" s="2">
        <v>114000000</v>
      </c>
      <c r="C20" s="2">
        <v>22500</v>
      </c>
      <c r="D20" s="2">
        <v>228</v>
      </c>
      <c r="E20" s="2">
        <v>228</v>
      </c>
      <c r="I20" s="38" t="s">
        <v>411</v>
      </c>
      <c r="J20" s="2" t="s">
        <v>410</v>
      </c>
      <c r="T20" s="3"/>
      <c r="U20" s="3"/>
      <c r="V20" s="3"/>
      <c r="W20" s="3"/>
      <c r="X20" s="3"/>
      <c r="AJ20" s="3"/>
      <c r="AK20" s="3"/>
      <c r="AL20" s="3"/>
      <c r="AM20" s="3"/>
      <c r="AN20" s="3"/>
    </row>
    <row r="21" spans="1:40" ht="18" customHeight="1" x14ac:dyDescent="0.2">
      <c r="T21" s="3"/>
      <c r="U21" s="3"/>
      <c r="V21" s="3"/>
      <c r="W21" s="3"/>
      <c r="X21" s="3"/>
      <c r="AJ21" s="3"/>
      <c r="AK21" s="3"/>
      <c r="AL21" s="3"/>
      <c r="AM21" s="3"/>
      <c r="AN21" s="3"/>
    </row>
    <row r="22" spans="1:40" ht="18" customHeight="1" x14ac:dyDescent="0.2">
      <c r="T22" s="3"/>
      <c r="U22" s="3"/>
      <c r="V22" s="3"/>
      <c r="W22" s="3"/>
      <c r="X22" s="3"/>
      <c r="AJ22" s="3"/>
      <c r="AK22" s="3"/>
      <c r="AL22" s="3"/>
      <c r="AM22" s="3"/>
      <c r="AN22" s="3"/>
    </row>
    <row r="23" spans="1:40" ht="18" customHeight="1" x14ac:dyDescent="0.2">
      <c r="T23" s="3"/>
      <c r="U23" s="3"/>
      <c r="V23" s="3"/>
      <c r="W23" s="3"/>
      <c r="X23" s="3"/>
      <c r="AJ23" s="3"/>
      <c r="AK23" s="3"/>
      <c r="AL23" s="3"/>
      <c r="AM23" s="3"/>
      <c r="AN23" s="3"/>
    </row>
    <row r="24" spans="1:40" ht="18" customHeight="1" x14ac:dyDescent="0.2">
      <c r="T24" s="3"/>
      <c r="U24" s="3"/>
      <c r="V24" s="3"/>
      <c r="W24" s="3"/>
      <c r="X24" s="3"/>
      <c r="AJ24" s="3"/>
      <c r="AK24" s="3"/>
      <c r="AL24" s="3"/>
      <c r="AM24" s="3"/>
      <c r="AN24" s="3"/>
    </row>
    <row r="25" spans="1:40" ht="18" customHeight="1" x14ac:dyDescent="0.2">
      <c r="T25" s="3"/>
      <c r="U25" s="3"/>
      <c r="V25" s="3"/>
      <c r="W25" s="3"/>
      <c r="X25" s="3"/>
      <c r="AJ25" s="3"/>
      <c r="AK25" s="3"/>
      <c r="AL25" s="3"/>
      <c r="AM25" s="3"/>
      <c r="AN25" s="3"/>
    </row>
    <row r="26" spans="1:40" ht="18" customHeight="1" x14ac:dyDescent="0.2">
      <c r="T26" s="3"/>
      <c r="U26" s="3"/>
      <c r="V26" s="3"/>
      <c r="W26" s="3"/>
      <c r="X26" s="3"/>
      <c r="AJ26" s="3"/>
      <c r="AK26" s="3"/>
      <c r="AL26" s="3"/>
      <c r="AM26" s="3"/>
      <c r="AN26" s="3"/>
    </row>
    <row r="27" spans="1:40" ht="18" customHeight="1" x14ac:dyDescent="0.2">
      <c r="T27" s="3"/>
      <c r="U27" s="3"/>
      <c r="V27" s="3"/>
      <c r="W27" s="3"/>
      <c r="X27" s="3"/>
      <c r="AJ27" s="3"/>
      <c r="AK27" s="3"/>
      <c r="AL27" s="3"/>
      <c r="AM27" s="3"/>
      <c r="AN27" s="3"/>
    </row>
    <row r="28" spans="1:40" ht="18" customHeight="1" x14ac:dyDescent="0.2">
      <c r="T28" s="3"/>
      <c r="U28" s="3"/>
      <c r="V28" s="3"/>
      <c r="W28" s="3"/>
      <c r="X28" s="3"/>
      <c r="AJ28" s="3"/>
      <c r="AK28" s="3"/>
      <c r="AL28" s="3"/>
      <c r="AM28" s="3"/>
      <c r="AN28" s="3"/>
    </row>
    <row r="29" spans="1:40" ht="18" customHeight="1" x14ac:dyDescent="0.2">
      <c r="T29" s="3"/>
      <c r="U29" s="3"/>
      <c r="V29" s="3"/>
      <c r="W29" s="3"/>
      <c r="X29" s="3"/>
      <c r="AJ29" s="3"/>
      <c r="AK29" s="3"/>
      <c r="AL29" s="3"/>
      <c r="AM29" s="3"/>
      <c r="AN29" s="3"/>
    </row>
    <row r="30" spans="1:40" ht="18" customHeight="1" x14ac:dyDescent="0.2">
      <c r="T30" s="3"/>
      <c r="U30" s="3"/>
      <c r="V30" s="3"/>
      <c r="W30" s="3"/>
      <c r="X30" s="3"/>
      <c r="AJ30" s="3"/>
      <c r="AK30" s="3"/>
      <c r="AL30" s="3"/>
      <c r="AM30" s="3"/>
      <c r="AN30" s="3"/>
    </row>
    <row r="31" spans="1:40" ht="18" customHeight="1" x14ac:dyDescent="0.2">
      <c r="T31" s="3"/>
      <c r="U31" s="3"/>
      <c r="V31" s="3"/>
      <c r="W31" s="3"/>
      <c r="X31" s="3"/>
      <c r="AJ31" s="3"/>
      <c r="AK31" s="3"/>
      <c r="AL31" s="3"/>
      <c r="AM31" s="3"/>
      <c r="AN31" s="3"/>
    </row>
    <row r="32" spans="1:40" ht="18" customHeight="1" x14ac:dyDescent="0.2">
      <c r="T32" s="3"/>
      <c r="U32" s="3"/>
      <c r="V32" s="3"/>
      <c r="W32" s="3"/>
      <c r="X32" s="3"/>
      <c r="AJ32" s="3"/>
      <c r="AK32" s="3"/>
      <c r="AL32" s="3"/>
      <c r="AM32" s="3"/>
      <c r="AN32" s="3"/>
    </row>
    <row r="33" spans="2:40" ht="18" customHeight="1" x14ac:dyDescent="0.2">
      <c r="T33" s="3"/>
      <c r="U33" s="3"/>
      <c r="V33" s="3"/>
      <c r="W33" s="3"/>
      <c r="X33" s="3"/>
      <c r="AJ33" s="3"/>
      <c r="AK33" s="3"/>
      <c r="AL33" s="3"/>
      <c r="AM33" s="3"/>
      <c r="AN33" s="3"/>
    </row>
    <row r="34" spans="2:40" ht="18" customHeight="1" x14ac:dyDescent="0.2">
      <c r="T34" s="3"/>
      <c r="U34" s="3"/>
      <c r="V34" s="3"/>
      <c r="W34" s="3"/>
      <c r="X34" s="3"/>
      <c r="AJ34" s="3"/>
      <c r="AK34" s="3"/>
      <c r="AL34" s="3"/>
      <c r="AM34" s="3"/>
      <c r="AN34" s="3"/>
    </row>
    <row r="35" spans="2:40" ht="18" customHeight="1" x14ac:dyDescent="0.2">
      <c r="T35" s="3"/>
      <c r="U35" s="3"/>
      <c r="V35" s="3"/>
      <c r="W35" s="3"/>
      <c r="X35" s="3"/>
      <c r="AJ35" s="3"/>
      <c r="AK35" s="3"/>
      <c r="AL35" s="3"/>
      <c r="AM35" s="3"/>
      <c r="AN35" s="3"/>
    </row>
    <row r="36" spans="2:40" ht="18" customHeight="1" x14ac:dyDescent="0.2">
      <c r="T36" s="3"/>
      <c r="U36" s="3"/>
      <c r="V36" s="3"/>
      <c r="W36" s="3"/>
      <c r="X36" s="3"/>
      <c r="AJ36" s="3"/>
      <c r="AK36" s="3"/>
      <c r="AL36" s="3"/>
      <c r="AM36" s="3"/>
      <c r="AN36" s="3"/>
    </row>
    <row r="37" spans="2:40" ht="18" customHeight="1" x14ac:dyDescent="0.2">
      <c r="T37" s="3"/>
      <c r="U37" s="3"/>
      <c r="V37" s="3"/>
      <c r="W37" s="3"/>
      <c r="X37" s="3"/>
      <c r="AJ37" s="3"/>
      <c r="AK37" s="3"/>
      <c r="AL37" s="3"/>
      <c r="AM37" s="3"/>
      <c r="AN37" s="3"/>
    </row>
    <row r="38" spans="2:40" ht="18" customHeight="1" x14ac:dyDescent="0.2">
      <c r="T38" s="3"/>
      <c r="U38" s="3"/>
      <c r="V38" s="3"/>
      <c r="W38" s="3"/>
      <c r="X38" s="3"/>
      <c r="AJ38" s="3"/>
      <c r="AK38" s="3"/>
      <c r="AL38" s="3"/>
      <c r="AM38" s="3"/>
      <c r="AN38" s="3"/>
    </row>
    <row r="39" spans="2:40" ht="18" customHeight="1" x14ac:dyDescent="0.2">
      <c r="T39" s="3"/>
      <c r="U39" s="3"/>
      <c r="V39" s="3"/>
      <c r="W39" s="3"/>
      <c r="X39" s="3"/>
      <c r="AJ39" s="3"/>
      <c r="AK39" s="3"/>
      <c r="AL39" s="3"/>
      <c r="AM39" s="3"/>
      <c r="AN39" s="3"/>
    </row>
    <row r="40" spans="2:40" ht="18" customHeight="1" x14ac:dyDescent="0.2">
      <c r="B40" s="3"/>
      <c r="C40" s="3"/>
      <c r="T40" s="3"/>
      <c r="U40" s="3"/>
      <c r="V40" s="3"/>
      <c r="W40" s="3"/>
      <c r="X40" s="3"/>
      <c r="AJ40" s="3"/>
      <c r="AK40" s="3"/>
      <c r="AL40" s="3"/>
      <c r="AM40" s="3"/>
      <c r="AN40" s="3"/>
    </row>
    <row r="41" spans="2:40" ht="18" customHeight="1" x14ac:dyDescent="0.2">
      <c r="B41" s="3"/>
      <c r="C41" s="3"/>
      <c r="T41" s="3"/>
      <c r="U41" s="3"/>
      <c r="V41" s="3"/>
      <c r="W41" s="3"/>
      <c r="X41" s="3"/>
      <c r="AJ41" s="3"/>
      <c r="AK41" s="3"/>
      <c r="AL41" s="3"/>
      <c r="AM41" s="3"/>
      <c r="AN41" s="3"/>
    </row>
    <row r="42" spans="2:40" ht="18" customHeight="1" x14ac:dyDescent="0.2">
      <c r="B42" s="3"/>
      <c r="C42" s="3"/>
      <c r="T42" s="3"/>
      <c r="U42" s="3"/>
      <c r="V42" s="3"/>
      <c r="W42" s="3"/>
      <c r="X42" s="3"/>
      <c r="AJ42" s="3"/>
      <c r="AK42" s="3"/>
      <c r="AL42" s="3"/>
      <c r="AM42" s="3"/>
      <c r="AN42" s="3"/>
    </row>
    <row r="43" spans="2:40" ht="18" customHeight="1" x14ac:dyDescent="0.2">
      <c r="B43" s="3"/>
      <c r="C43" s="3"/>
      <c r="T43" s="3"/>
      <c r="U43" s="3"/>
      <c r="V43" s="3"/>
      <c r="W43" s="3"/>
      <c r="X43" s="3"/>
      <c r="AJ43" s="3"/>
      <c r="AK43" s="3"/>
      <c r="AL43" s="3"/>
      <c r="AM43" s="3"/>
      <c r="AN43" s="3"/>
    </row>
    <row r="44" spans="2:40" ht="18" customHeight="1" x14ac:dyDescent="0.2">
      <c r="B44" s="3"/>
      <c r="T44" s="3"/>
      <c r="U44" s="3"/>
      <c r="V44" s="3"/>
      <c r="W44" s="3"/>
      <c r="X44" s="3"/>
      <c r="AJ44" s="3"/>
      <c r="AK44" s="3"/>
      <c r="AL44" s="3"/>
      <c r="AM44" s="3"/>
      <c r="AN44" s="3"/>
    </row>
    <row r="45" spans="2:40" ht="18" customHeight="1" x14ac:dyDescent="0.2">
      <c r="B45" s="3"/>
      <c r="T45" s="3"/>
      <c r="U45" s="3"/>
      <c r="V45" s="3"/>
      <c r="W45" s="3"/>
      <c r="X45" s="3"/>
      <c r="AJ45" s="3"/>
      <c r="AK45" s="3"/>
      <c r="AL45" s="3"/>
      <c r="AM45" s="3"/>
      <c r="AN45" s="3"/>
    </row>
    <row r="46" spans="2:40" ht="18" customHeight="1" x14ac:dyDescent="0.2">
      <c r="B46" s="3"/>
      <c r="C46" s="3"/>
      <c r="T46" s="3"/>
      <c r="U46" s="3"/>
      <c r="V46" s="3"/>
      <c r="W46" s="3"/>
      <c r="X46" s="3"/>
      <c r="AJ46" s="3"/>
      <c r="AK46" s="3"/>
      <c r="AL46" s="3"/>
      <c r="AM46" s="3"/>
      <c r="AN46" s="3"/>
    </row>
    <row r="47" spans="2:40" ht="18" customHeight="1" x14ac:dyDescent="0.2">
      <c r="B47" s="3"/>
      <c r="C47" s="3"/>
      <c r="T47" s="3"/>
      <c r="U47" s="3"/>
      <c r="V47" s="3"/>
      <c r="W47" s="3"/>
      <c r="X47" s="3"/>
      <c r="AJ47" s="3"/>
      <c r="AK47" s="3"/>
      <c r="AL47" s="3"/>
      <c r="AM47" s="3"/>
      <c r="AN47" s="3"/>
    </row>
    <row r="48" spans="2:40" ht="18" customHeight="1" x14ac:dyDescent="0.2">
      <c r="B48" s="3"/>
      <c r="C48" s="3"/>
      <c r="T48" s="3"/>
      <c r="U48" s="3"/>
      <c r="V48" s="3"/>
      <c r="W48" s="3"/>
      <c r="X48" s="3"/>
      <c r="AJ48" s="3"/>
      <c r="AK48" s="3"/>
      <c r="AL48" s="3"/>
      <c r="AM48" s="3"/>
      <c r="AN48" s="3"/>
    </row>
    <row r="49" spans="1:40" ht="18" customHeight="1" x14ac:dyDescent="0.2">
      <c r="B49" s="3"/>
      <c r="C49" s="3"/>
      <c r="T49" s="3"/>
      <c r="U49" s="3"/>
      <c r="V49" s="3"/>
      <c r="W49" s="3"/>
      <c r="X49" s="3"/>
      <c r="AJ49" s="3"/>
      <c r="AK49" s="3"/>
      <c r="AL49" s="3"/>
      <c r="AM49" s="3"/>
      <c r="AN49" s="3"/>
    </row>
    <row r="50" spans="1:40" ht="18" customHeight="1" x14ac:dyDescent="0.2">
      <c r="T50" s="3"/>
      <c r="U50" s="3"/>
      <c r="V50" s="3"/>
      <c r="W50" s="3"/>
      <c r="X50" s="3"/>
      <c r="AJ50" s="3"/>
      <c r="AK50" s="3"/>
      <c r="AL50" s="3"/>
      <c r="AM50" s="3"/>
      <c r="AN50" s="3"/>
    </row>
    <row r="51" spans="1:40" ht="18" customHeight="1" x14ac:dyDescent="0.2">
      <c r="B51" s="3"/>
      <c r="T51" s="3"/>
      <c r="U51" s="3"/>
      <c r="V51" s="3"/>
      <c r="W51" s="3"/>
      <c r="X51" s="3"/>
      <c r="AJ51" s="3"/>
      <c r="AK51" s="3"/>
      <c r="AL51" s="3"/>
      <c r="AM51" s="3"/>
      <c r="AN51" s="3"/>
    </row>
    <row r="52" spans="1:40" ht="18" customHeight="1" x14ac:dyDescent="0.2">
      <c r="C52" s="3"/>
      <c r="X52" s="3"/>
      <c r="AL52" s="3"/>
      <c r="AM52" s="3"/>
      <c r="AN52" s="3"/>
    </row>
    <row r="53" spans="1:40" ht="18" customHeight="1" x14ac:dyDescent="0.2">
      <c r="A53" s="2"/>
    </row>
    <row r="54" spans="1:40" ht="18" customHeight="1" x14ac:dyDescent="0.2">
      <c r="B54" s="3"/>
      <c r="AJ54" s="3"/>
      <c r="AK54" s="3"/>
      <c r="AL54" s="3"/>
      <c r="AM54" s="3"/>
      <c r="AN54" s="3"/>
    </row>
    <row r="55" spans="1:40" ht="18" customHeight="1" x14ac:dyDescent="0.2">
      <c r="B55" s="3"/>
      <c r="C55" s="3"/>
      <c r="AJ55" s="3"/>
      <c r="AK55" s="3"/>
      <c r="AL55" s="3"/>
      <c r="AM55" s="3"/>
      <c r="AN55" s="3"/>
    </row>
    <row r="56" spans="1:40" ht="18" customHeight="1" x14ac:dyDescent="0.2">
      <c r="AJ56" s="3"/>
      <c r="AK56" s="3"/>
      <c r="AL56" s="3"/>
      <c r="AM56" s="3"/>
      <c r="AN56" s="3"/>
    </row>
    <row r="57" spans="1:40" ht="18" customHeight="1" x14ac:dyDescent="0.2">
      <c r="AJ57" s="3"/>
      <c r="AK57" s="3"/>
      <c r="AL57" s="3"/>
      <c r="AM57" s="3"/>
      <c r="AN57" s="3"/>
    </row>
    <row r="58" spans="1:40" ht="18" customHeight="1" x14ac:dyDescent="0.2">
      <c r="AJ58" s="3"/>
      <c r="AK58" s="3"/>
      <c r="AL58" s="3"/>
      <c r="AM58" s="3"/>
      <c r="AN58" s="3"/>
    </row>
    <row r="59" spans="1:40" ht="18" customHeight="1" x14ac:dyDescent="0.2">
      <c r="AJ59" s="3"/>
      <c r="AK59" s="3"/>
      <c r="AL59" s="3"/>
      <c r="AM59" s="3"/>
      <c r="AN59" s="3"/>
    </row>
    <row r="60" spans="1:40" ht="18" customHeight="1" x14ac:dyDescent="0.2">
      <c r="AJ60" s="3"/>
      <c r="AK60" s="3"/>
      <c r="AL60" s="3"/>
      <c r="AM60" s="3"/>
      <c r="AN60" s="3"/>
    </row>
    <row r="61" spans="1:40" ht="18" customHeight="1" x14ac:dyDescent="0.2">
      <c r="AJ61" s="3"/>
      <c r="AK61" s="3"/>
      <c r="AL61" s="3"/>
      <c r="AM61" s="3"/>
      <c r="AN61" s="3"/>
    </row>
    <row r="62" spans="1:40" ht="18" customHeight="1" x14ac:dyDescent="0.2">
      <c r="AJ62" s="3"/>
      <c r="AK62" s="3"/>
      <c r="AL62" s="3"/>
      <c r="AM62" s="3"/>
      <c r="AN62" s="3"/>
    </row>
    <row r="63" spans="1:40" ht="18" customHeight="1" x14ac:dyDescent="0.2">
      <c r="AJ63" s="3"/>
      <c r="AK63" s="3"/>
      <c r="AL63" s="3"/>
      <c r="AM63" s="3"/>
      <c r="AN63" s="3"/>
    </row>
    <row r="64" spans="1:40" ht="18" customHeight="1" x14ac:dyDescent="0.2">
      <c r="AJ64" s="3"/>
      <c r="AK64" s="3"/>
      <c r="AL64" s="3"/>
    </row>
    <row r="65" spans="36:38" ht="18" customHeight="1" x14ac:dyDescent="0.2">
      <c r="AJ65" s="3"/>
      <c r="AK65" s="3"/>
      <c r="AL65" s="3"/>
    </row>
  </sheetData>
  <phoneticPr fontId="16" type="noConversion"/>
  <conditionalFormatting sqref="I64:I6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{7A032938-D709-426C-B570-983F21E96649}</x14:id>
        </ext>
      </extLst>
    </cfRule>
  </conditionalFormatting>
  <conditionalFormatting sqref="C64:I6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{BD462F87-2F23-4772-A1B4-52F10C1AE0AF}</x14:id>
        </ext>
      </extLst>
    </cfRule>
  </conditionalFormatting>
  <pageMargins left="0.7" right="0.7" top="0.75" bottom="0.75" header="0.3" footer="0.3"/>
  <pageSetup paperSize="9" orientation="portrait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032938-D709-426C-B570-983F21E9664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I64:I65</xm:sqref>
        </x14:conditionalFormatting>
        <x14:conditionalFormatting xmlns:xm="http://schemas.microsoft.com/office/excel/2006/main">
          <x14:cfRule type="dataBar" id="{BD462F87-2F23-4772-A1B4-52F10C1AE0A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C64:I65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1EB9E-9ED3-4219-8EF2-C0E2E56048E0}">
  <dimension ref="A1:G202"/>
  <sheetViews>
    <sheetView tabSelected="1" workbookViewId="0">
      <selection activeCell="F4" sqref="F4:F202"/>
    </sheetView>
  </sheetViews>
  <sheetFormatPr defaultColWidth="11.875" defaultRowHeight="16.5" customHeight="1" x14ac:dyDescent="0.2"/>
  <sheetData>
    <row r="1" spans="1:7" ht="16.5" customHeight="1" x14ac:dyDescent="0.2">
      <c r="A1" s="39" t="s">
        <v>419</v>
      </c>
      <c r="B1" s="39" t="s">
        <v>51</v>
      </c>
      <c r="C1" s="39" t="s">
        <v>16</v>
      </c>
      <c r="D1" s="39" t="s">
        <v>50</v>
      </c>
      <c r="F1" s="10" t="s">
        <v>53</v>
      </c>
      <c r="G1" s="10" t="s">
        <v>54</v>
      </c>
    </row>
    <row r="2" spans="1:7" ht="16.5" customHeight="1" x14ac:dyDescent="0.2">
      <c r="A2" s="25" t="s">
        <v>14</v>
      </c>
      <c r="B2" s="37" t="s">
        <v>387</v>
      </c>
      <c r="C2" s="37" t="s">
        <v>387</v>
      </c>
      <c r="D2" s="37" t="s">
        <v>387</v>
      </c>
      <c r="F2" s="10" t="s">
        <v>14</v>
      </c>
      <c r="G2" s="10"/>
    </row>
    <row r="3" spans="1:7" ht="16.5" customHeight="1" x14ac:dyDescent="0.2">
      <c r="A3" s="40" t="s">
        <v>420</v>
      </c>
      <c r="B3" s="41">
        <v>501.46</v>
      </c>
      <c r="C3" s="41">
        <v>51.16</v>
      </c>
      <c r="D3" s="41">
        <v>151.32</v>
      </c>
      <c r="F3" s="40" t="s">
        <v>419</v>
      </c>
      <c r="G3" s="2" t="str">
        <f>A3</f>
        <v>无尽狂潮1</v>
      </c>
    </row>
    <row r="4" spans="1:7" ht="16.5" customHeight="1" x14ac:dyDescent="0.2">
      <c r="A4" s="40" t="s">
        <v>421</v>
      </c>
      <c r="B4" s="41">
        <v>2002.1315999999999</v>
      </c>
      <c r="C4" s="41">
        <v>51.345599999999997</v>
      </c>
      <c r="D4" s="41">
        <v>601.74239999999998</v>
      </c>
      <c r="F4" s="40" t="s">
        <v>419</v>
      </c>
      <c r="G4" s="2" t="str">
        <f t="shared" ref="G4:G67" si="0">A4</f>
        <v>无尽狂潮2</v>
      </c>
    </row>
    <row r="5" spans="1:7" ht="16.5" customHeight="1" x14ac:dyDescent="0.2">
      <c r="A5" s="40" t="s">
        <v>422</v>
      </c>
      <c r="B5" s="41">
        <v>4503.1121359999997</v>
      </c>
      <c r="C5" s="41">
        <v>51.560896</v>
      </c>
      <c r="D5" s="41">
        <v>1352.299968</v>
      </c>
      <c r="F5" s="40" t="s">
        <v>419</v>
      </c>
      <c r="G5" s="2" t="str">
        <f t="shared" si="0"/>
        <v>无尽狂潮3</v>
      </c>
    </row>
    <row r="6" spans="1:7" ht="16.5" customHeight="1" x14ac:dyDescent="0.2">
      <c r="A6" s="40" t="s">
        <v>423</v>
      </c>
      <c r="B6" s="41">
        <v>8004.5437185600003</v>
      </c>
      <c r="C6" s="41">
        <v>51.810639360000003</v>
      </c>
      <c r="D6" s="41">
        <v>2403.0359577600002</v>
      </c>
      <c r="F6" s="40" t="s">
        <v>419</v>
      </c>
      <c r="G6" s="2" t="str">
        <f t="shared" si="0"/>
        <v>无尽狂潮4</v>
      </c>
    </row>
    <row r="7" spans="1:7" ht="16.5" customHeight="1" x14ac:dyDescent="0.2">
      <c r="A7" s="40" t="s">
        <v>424</v>
      </c>
      <c r="B7" s="41">
        <v>12506.6338290976</v>
      </c>
      <c r="C7" s="41">
        <v>52.100341657599998</v>
      </c>
      <c r="D7" s="41">
        <v>3754.0074642432</v>
      </c>
      <c r="F7" s="40" t="s">
        <v>419</v>
      </c>
      <c r="G7" s="2" t="str">
        <f t="shared" si="0"/>
        <v>无尽狂潮5</v>
      </c>
    </row>
    <row r="8" spans="1:7" ht="16.5" customHeight="1" x14ac:dyDescent="0.2">
      <c r="A8" s="40" t="s">
        <v>425</v>
      </c>
      <c r="B8" s="41">
        <v>18009.6853904825</v>
      </c>
      <c r="C8" s="41">
        <v>52.436396322816002</v>
      </c>
      <c r="D8" s="41">
        <v>5405.2898528010201</v>
      </c>
      <c r="F8" s="40" t="s">
        <v>419</v>
      </c>
      <c r="G8" s="2" t="str">
        <f t="shared" si="0"/>
        <v>无尽狂潮6</v>
      </c>
    </row>
    <row r="9" spans="1:7" ht="16.5" customHeight="1" x14ac:dyDescent="0.2">
      <c r="A9" s="40" t="s">
        <v>426</v>
      </c>
      <c r="B9" s="41">
        <v>24514.1406701044</v>
      </c>
      <c r="C9" s="41">
        <v>52.826219734466598</v>
      </c>
      <c r="D9" s="41">
        <v>7356.9826056973498</v>
      </c>
      <c r="F9" s="40" t="s">
        <v>419</v>
      </c>
      <c r="G9" s="2" t="str">
        <f t="shared" si="0"/>
        <v>无尽狂潮7</v>
      </c>
    </row>
    <row r="10" spans="1:7" ht="16.5" customHeight="1" x14ac:dyDescent="0.2">
      <c r="A10" s="40" t="s">
        <v>427</v>
      </c>
      <c r="B10" s="41">
        <v>32020.645378352499</v>
      </c>
      <c r="C10" s="41">
        <v>53.2784148919812</v>
      </c>
      <c r="D10" s="41">
        <v>9609.2170395204994</v>
      </c>
      <c r="F10" s="40" t="s">
        <v>419</v>
      </c>
      <c r="G10" s="2" t="str">
        <f t="shared" si="0"/>
        <v>无尽狂潮8</v>
      </c>
    </row>
    <row r="11" spans="1:7" ht="16.5" customHeight="1" x14ac:dyDescent="0.2">
      <c r="A11" s="40" t="s">
        <v>428</v>
      </c>
      <c r="B11" s="41">
        <v>40530.142252394602</v>
      </c>
      <c r="C11" s="41">
        <v>53.802961274698198</v>
      </c>
      <c r="D11" s="41">
        <v>12162.1664921671</v>
      </c>
      <c r="F11" s="40" t="s">
        <v>419</v>
      </c>
      <c r="G11" s="2" t="str">
        <f t="shared" si="0"/>
        <v>无尽狂潮9</v>
      </c>
    </row>
    <row r="12" spans="1:7" ht="16.5" customHeight="1" x14ac:dyDescent="0.2">
      <c r="A12" s="40" t="s">
        <v>429</v>
      </c>
      <c r="B12" s="41">
        <v>50044.007688496204</v>
      </c>
      <c r="C12" s="41">
        <v>54.411435078649902</v>
      </c>
      <c r="D12" s="41">
        <v>15016.0597696605</v>
      </c>
      <c r="F12" s="40" t="s">
        <v>419</v>
      </c>
      <c r="G12" s="2" t="str">
        <f t="shared" si="0"/>
        <v>无尽狂潮10</v>
      </c>
    </row>
    <row r="13" spans="1:7" ht="16.5" customHeight="1" x14ac:dyDescent="0.2">
      <c r="A13" s="40" t="s">
        <v>430</v>
      </c>
      <c r="B13" s="41">
        <v>60564.251225204403</v>
      </c>
      <c r="C13" s="41">
        <v>55.117264691233899</v>
      </c>
      <c r="D13" s="41">
        <v>18171.1988959519</v>
      </c>
      <c r="F13" s="40" t="s">
        <v>419</v>
      </c>
      <c r="G13" s="2" t="str">
        <f t="shared" si="0"/>
        <v>无尽狂潮11</v>
      </c>
    </row>
    <row r="14" spans="1:7" ht="16.5" customHeight="1" x14ac:dyDescent="0.2">
      <c r="A14" s="40" t="s">
        <v>431</v>
      </c>
      <c r="B14" s="41">
        <v>72093.806788798407</v>
      </c>
      <c r="C14" s="41">
        <v>55.936027041831302</v>
      </c>
      <c r="D14" s="41">
        <v>21627.9825426565</v>
      </c>
      <c r="F14" s="40" t="s">
        <v>419</v>
      </c>
      <c r="G14" s="2" t="str">
        <f t="shared" si="0"/>
        <v>无尽狂潮12</v>
      </c>
    </row>
    <row r="15" spans="1:7" ht="16.5" customHeight="1" x14ac:dyDescent="0.2">
      <c r="A15" s="40" t="s">
        <v>432</v>
      </c>
      <c r="B15" s="41">
        <v>84636.957911645703</v>
      </c>
      <c r="C15" s="41">
        <v>56.885791368524302</v>
      </c>
      <c r="D15" s="41">
        <v>25386.936956306599</v>
      </c>
      <c r="F15" s="40" t="s">
        <v>419</v>
      </c>
      <c r="G15" s="2" t="str">
        <f t="shared" si="0"/>
        <v>无尽狂潮13</v>
      </c>
    </row>
    <row r="16" spans="1:7" ht="16.5" customHeight="1" x14ac:dyDescent="0.2">
      <c r="A16" s="40" t="s">
        <v>433</v>
      </c>
      <c r="B16" s="41">
        <v>98199.958551002695</v>
      </c>
      <c r="C16" s="41">
        <v>57.987517987488197</v>
      </c>
      <c r="D16" s="41">
        <v>29448.756782324701</v>
      </c>
      <c r="F16" s="40" t="s">
        <v>419</v>
      </c>
      <c r="G16" s="2" t="str">
        <f t="shared" si="0"/>
        <v>无尽狂潮14</v>
      </c>
    </row>
    <row r="17" spans="1:7" ht="16.5" customHeight="1" x14ac:dyDescent="0.2">
      <c r="A17" s="40" t="s">
        <v>434</v>
      </c>
      <c r="B17" s="41">
        <v>112791.939484464</v>
      </c>
      <c r="C17" s="41">
        <v>59.265520865486302</v>
      </c>
      <c r="D17" s="41">
        <v>33814.358952668597</v>
      </c>
      <c r="F17" s="40" t="s">
        <v>419</v>
      </c>
      <c r="G17" s="2" t="str">
        <f t="shared" si="0"/>
        <v>无尽狂潮15</v>
      </c>
    </row>
    <row r="18" spans="1:7" ht="16.5" customHeight="1" x14ac:dyDescent="0.2">
      <c r="A18" s="40" t="s">
        <v>435</v>
      </c>
      <c r="B18" s="41">
        <v>128426.23164731701</v>
      </c>
      <c r="C18" s="41">
        <v>60.7480042039642</v>
      </c>
      <c r="D18" s="41">
        <v>38484.953817522503</v>
      </c>
      <c r="F18" s="40" t="s">
        <v>419</v>
      </c>
      <c r="G18" s="2" t="str">
        <f t="shared" si="0"/>
        <v>无尽狂潮16</v>
      </c>
    </row>
    <row r="19" spans="1:7" ht="16.5" customHeight="1" x14ac:dyDescent="0.2">
      <c r="A19" s="40" t="s">
        <v>436</v>
      </c>
      <c r="B19" s="41">
        <v>145122.298205083</v>
      </c>
      <c r="C19" s="41">
        <v>62.467684876598398</v>
      </c>
      <c r="D19" s="41">
        <v>43462.139039129703</v>
      </c>
      <c r="F19" s="40" t="s">
        <v>419</v>
      </c>
      <c r="G19" s="2" t="str">
        <f t="shared" si="0"/>
        <v>无尽狂潮17</v>
      </c>
    </row>
    <row r="20" spans="1:7" ht="16.5" customHeight="1" x14ac:dyDescent="0.2">
      <c r="A20" s="40" t="s">
        <v>437</v>
      </c>
      <c r="B20" s="41">
        <v>162908.555379422</v>
      </c>
      <c r="C20" s="41">
        <v>64.462514456854194</v>
      </c>
      <c r="D20" s="41">
        <v>48748.023531651299</v>
      </c>
      <c r="F20" s="40" t="s">
        <v>419</v>
      </c>
      <c r="G20" s="2" t="str">
        <f t="shared" si="0"/>
        <v>无尽狂潮18</v>
      </c>
    </row>
    <row r="21" spans="1:7" ht="16.5" customHeight="1" x14ac:dyDescent="0.2">
      <c r="A21" s="40" t="s">
        <v>438</v>
      </c>
      <c r="B21" s="41">
        <v>181826.490853956</v>
      </c>
      <c r="C21" s="41">
        <v>66.776516769950803</v>
      </c>
      <c r="D21" s="41">
        <v>54345.391061779701</v>
      </c>
      <c r="F21" s="40" t="s">
        <v>419</v>
      </c>
      <c r="G21" s="2" t="str">
        <f t="shared" si="0"/>
        <v>无尽狂潮19</v>
      </c>
    </row>
    <row r="22" spans="1:7" ht="16.5" customHeight="1" x14ac:dyDescent="0.2">
      <c r="A22" s="40" t="s">
        <v>439</v>
      </c>
      <c r="B22" s="41">
        <v>201936.67664677501</v>
      </c>
      <c r="C22" s="41">
        <v>69.460759453142998</v>
      </c>
      <c r="D22" s="41">
        <v>60257.916201549197</v>
      </c>
      <c r="F22" s="40" t="s">
        <v>419</v>
      </c>
      <c r="G22" s="2" t="str">
        <f t="shared" si="0"/>
        <v>无尽狂潮20</v>
      </c>
    </row>
    <row r="23" spans="1:7" ht="16.5" customHeight="1" x14ac:dyDescent="0.2">
      <c r="A23" s="40" t="s">
        <v>440</v>
      </c>
      <c r="B23" s="41">
        <v>223327.54790429201</v>
      </c>
      <c r="C23" s="41">
        <v>72.574480965645805</v>
      </c>
      <c r="D23" s="41">
        <v>66490.4493860449</v>
      </c>
      <c r="F23" s="40" t="s">
        <v>419</v>
      </c>
      <c r="G23" s="2" t="str">
        <f t="shared" si="0"/>
        <v>无尽狂潮21</v>
      </c>
    </row>
    <row r="24" spans="1:7" ht="16.5" customHeight="1" x14ac:dyDescent="0.2">
      <c r="A24" s="40" t="s">
        <v>441</v>
      </c>
      <c r="B24" s="41">
        <v>246128.21994026701</v>
      </c>
      <c r="C24" s="41">
        <v>76.186397920149204</v>
      </c>
      <c r="D24" s="41">
        <v>73049.393189579307</v>
      </c>
      <c r="F24" s="40" t="s">
        <v>419</v>
      </c>
      <c r="G24" s="2" t="str">
        <f t="shared" si="0"/>
        <v>无尽狂潮22</v>
      </c>
    </row>
    <row r="25" spans="1:7" ht="16.5" customHeight="1" x14ac:dyDescent="0.2">
      <c r="A25" s="40" t="s">
        <v>442</v>
      </c>
      <c r="B25" s="41">
        <v>270527.20111278899</v>
      </c>
      <c r="C25" s="41">
        <v>80.376221587372996</v>
      </c>
      <c r="D25" s="41">
        <v>79943.1990102446</v>
      </c>
      <c r="F25" s="40" t="s">
        <v>419</v>
      </c>
      <c r="G25" s="2" t="str">
        <f t="shared" si="0"/>
        <v>无尽狂潮23</v>
      </c>
    </row>
    <row r="26" spans="1:7" ht="16.5" customHeight="1" x14ac:dyDescent="0.2">
      <c r="A26" s="40" t="s">
        <v>443</v>
      </c>
      <c r="B26" s="41">
        <v>296799.71362467197</v>
      </c>
      <c r="C26" s="41">
        <v>85.236417041352695</v>
      </c>
      <c r="D26" s="41">
        <v>87183.0226935229</v>
      </c>
      <c r="F26" s="40" t="s">
        <v>419</v>
      </c>
      <c r="G26" s="2" t="str">
        <f t="shared" si="0"/>
        <v>无尽狂潮24</v>
      </c>
    </row>
    <row r="27" spans="1:7" ht="16.5" customHeight="1" x14ac:dyDescent="0.2">
      <c r="A27" s="40" t="s">
        <v>444</v>
      </c>
      <c r="B27" s="41">
        <v>325347.581892021</v>
      </c>
      <c r="C27" s="41">
        <v>90.874243767969105</v>
      </c>
      <c r="D27" s="41">
        <v>94783.589955450298</v>
      </c>
      <c r="F27" s="40" t="s">
        <v>419</v>
      </c>
      <c r="G27" s="2" t="str">
        <f t="shared" si="0"/>
        <v>无尽狂潮25</v>
      </c>
    </row>
    <row r="28" spans="1:7" ht="16.5" customHeight="1" x14ac:dyDescent="0.2">
      <c r="A28" s="40" t="s">
        <v>445</v>
      </c>
      <c r="B28" s="41">
        <v>356757.46956235101</v>
      </c>
      <c r="C28" s="41">
        <v>97.414122770844202</v>
      </c>
      <c r="D28" s="41">
        <v>102764.33874119401</v>
      </c>
      <c r="F28" s="40" t="s">
        <v>419</v>
      </c>
      <c r="G28" s="2" t="str">
        <f t="shared" si="0"/>
        <v>无尽狂潮26</v>
      </c>
    </row>
    <row r="29" spans="1:7" ht="16.5" customHeight="1" x14ac:dyDescent="0.2">
      <c r="A29" s="40" t="s">
        <v>446</v>
      </c>
      <c r="B29" s="41">
        <v>391885.905561033</v>
      </c>
      <c r="C29" s="41">
        <v>105.000382414179</v>
      </c>
      <c r="D29" s="41">
        <v>111150.927138377</v>
      </c>
      <c r="F29" s="40" t="s">
        <v>419</v>
      </c>
      <c r="G29" s="2" t="str">
        <f t="shared" si="0"/>
        <v>无尽狂潮27</v>
      </c>
    </row>
    <row r="30" spans="1:7" ht="16.5" customHeight="1" x14ac:dyDescent="0.2">
      <c r="A30" s="40" t="s">
        <v>447</v>
      </c>
      <c r="B30" s="41">
        <v>431983.42211910803</v>
      </c>
      <c r="C30" s="41">
        <v>113.80044360044801</v>
      </c>
      <c r="D30" s="41">
        <v>119977.223822657</v>
      </c>
      <c r="F30" s="40" t="s">
        <v>419</v>
      </c>
      <c r="G30" s="2" t="str">
        <f t="shared" si="0"/>
        <v>无尽狂潮28</v>
      </c>
    </row>
    <row r="31" spans="1:7" ht="16.5" customHeight="1" x14ac:dyDescent="0.2">
      <c r="A31" s="40" t="s">
        <v>448</v>
      </c>
      <c r="B31" s="41">
        <v>478875.79629389697</v>
      </c>
      <c r="C31" s="41">
        <v>124.00851457652</v>
      </c>
      <c r="D31" s="41">
        <v>129287.935445907</v>
      </c>
      <c r="F31" s="40" t="s">
        <v>419</v>
      </c>
      <c r="G31" s="2" t="str">
        <f t="shared" si="0"/>
        <v>无尽狂潮29</v>
      </c>
    </row>
    <row r="32" spans="1:7" ht="16.5" customHeight="1" x14ac:dyDescent="0.2">
      <c r="A32" s="40" t="s">
        <v>449</v>
      </c>
      <c r="B32" s="41">
        <v>535228.66258908994</v>
      </c>
      <c r="C32" s="41">
        <v>135.84987690876301</v>
      </c>
      <c r="D32" s="41">
        <v>139142.07478859799</v>
      </c>
      <c r="F32" s="40" t="s">
        <v>419</v>
      </c>
      <c r="G32" s="2" t="str">
        <f t="shared" si="0"/>
        <v>无尽狂潮30</v>
      </c>
    </row>
    <row r="33" spans="1:7" ht="16.5" customHeight="1" x14ac:dyDescent="0.2">
      <c r="A33" s="40" t="s">
        <v>450</v>
      </c>
      <c r="B33" s="41">
        <v>604933.84738007095</v>
      </c>
      <c r="C33" s="41">
        <v>149.585857214165</v>
      </c>
      <c r="D33" s="41">
        <v>149617.538720949</v>
      </c>
      <c r="F33" s="40" t="s">
        <v>419</v>
      </c>
      <c r="G33" s="2" t="str">
        <f t="shared" si="0"/>
        <v>无尽狂潮31</v>
      </c>
    </row>
    <row r="34" spans="1:7" ht="16.5" customHeight="1" x14ac:dyDescent="0.2">
      <c r="A34" s="40" t="s">
        <v>451</v>
      </c>
      <c r="B34" s="41">
        <v>693673.41717490403</v>
      </c>
      <c r="C34" s="41">
        <v>165.519594368431</v>
      </c>
      <c r="D34" s="41">
        <v>160817.151111652</v>
      </c>
      <c r="F34" s="40" t="s">
        <v>419</v>
      </c>
      <c r="G34" s="2" t="str">
        <f t="shared" si="0"/>
        <v>无尽狂潮32</v>
      </c>
    </row>
    <row r="35" spans="1:7" ht="16.5" customHeight="1" x14ac:dyDescent="0.2">
      <c r="A35" s="40" t="s">
        <v>452</v>
      </c>
      <c r="B35" s="41">
        <v>809743.18907535996</v>
      </c>
      <c r="C35" s="41">
        <v>184.00272946737999</v>
      </c>
      <c r="D35" s="41">
        <v>172876.639467381</v>
      </c>
      <c r="F35" s="40" t="s">
        <v>419</v>
      </c>
      <c r="G35" s="2" t="str">
        <f t="shared" si="0"/>
        <v>无尽狂潮33</v>
      </c>
    </row>
    <row r="36" spans="1:7" ht="16.5" customHeight="1" x14ac:dyDescent="0.2">
      <c r="A36" s="40" t="s">
        <v>453</v>
      </c>
      <c r="B36" s="41">
        <v>965255.05605002504</v>
      </c>
      <c r="C36" s="41">
        <v>205.44316618216101</v>
      </c>
      <c r="D36" s="41">
        <v>185975.16409694299</v>
      </c>
      <c r="F36" s="40" t="s">
        <v>419</v>
      </c>
      <c r="G36" s="2" t="str">
        <f t="shared" si="0"/>
        <v>无尽狂潮34</v>
      </c>
    </row>
    <row r="37" spans="1:7" ht="16.5" customHeight="1" x14ac:dyDescent="0.2">
      <c r="A37" s="40" t="s">
        <v>454</v>
      </c>
      <c r="B37" s="41">
        <v>1177892.3818330399</v>
      </c>
      <c r="C37" s="41">
        <v>230.314072771307</v>
      </c>
      <c r="D37" s="41">
        <v>200349.21660796501</v>
      </c>
      <c r="F37" s="40" t="s">
        <v>419</v>
      </c>
      <c r="G37" s="2" t="str">
        <f t="shared" si="0"/>
        <v>无尽狂潮35</v>
      </c>
    </row>
    <row r="38" spans="1:7" ht="16.5" customHeight="1" x14ac:dyDescent="0.2">
      <c r="A38" s="40" t="s">
        <v>455</v>
      </c>
      <c r="B38" s="41">
        <v>1473472.87747623</v>
      </c>
      <c r="C38" s="41">
        <v>259.16432441471602</v>
      </c>
      <c r="D38" s="41">
        <v>216310.96592251401</v>
      </c>
      <c r="F38" s="40" t="s">
        <v>419</v>
      </c>
      <c r="G38" s="2" t="str">
        <f t="shared" si="0"/>
        <v>无尽狂潮36</v>
      </c>
    </row>
    <row r="39" spans="1:7" ht="16.5" customHeight="1" x14ac:dyDescent="0.2">
      <c r="A39" s="40" t="s">
        <v>456</v>
      </c>
      <c r="B39" s="41">
        <v>1889690.4011152999</v>
      </c>
      <c r="C39" s="41">
        <v>292.63061632107002</v>
      </c>
      <c r="D39" s="41">
        <v>234272.47501771801</v>
      </c>
      <c r="F39" s="40" t="s">
        <v>419</v>
      </c>
      <c r="G39" s="2" t="str">
        <f t="shared" si="0"/>
        <v>无尽狂潮37</v>
      </c>
    </row>
    <row r="40" spans="1:7" ht="16.5" customHeight="1" x14ac:dyDescent="0.2">
      <c r="A40" s="40" t="s">
        <v>457</v>
      </c>
      <c r="B40" s="41">
        <v>2481577.9856283399</v>
      </c>
      <c r="C40" s="41">
        <v>331.451514932441</v>
      </c>
      <c r="D40" s="41">
        <v>254777.667023388</v>
      </c>
      <c r="F40" s="40" t="s">
        <v>419</v>
      </c>
      <c r="G40" s="2" t="str">
        <f t="shared" si="0"/>
        <v>无尽狂潮38</v>
      </c>
    </row>
    <row r="41" spans="1:7" ht="16.5" customHeight="1" x14ac:dyDescent="0.2">
      <c r="A41" s="40" t="s">
        <v>458</v>
      </c>
      <c r="B41" s="41">
        <v>3329483.85901738</v>
      </c>
      <c r="C41" s="41">
        <v>376.48375732163203</v>
      </c>
      <c r="D41" s="41">
        <v>278544.52047087299</v>
      </c>
      <c r="F41" s="40" t="s">
        <v>419</v>
      </c>
      <c r="G41" s="2" t="str">
        <f t="shared" si="0"/>
        <v>无尽狂潮39</v>
      </c>
    </row>
    <row r="42" spans="1:7" ht="16.5" customHeight="1" x14ac:dyDescent="0.2">
      <c r="A42" s="40" t="s">
        <v>459</v>
      </c>
      <c r="B42" s="41">
        <v>4550716.4341653697</v>
      </c>
      <c r="C42" s="41">
        <v>428.72115849309301</v>
      </c>
      <c r="D42" s="41">
        <v>306520.76702155202</v>
      </c>
      <c r="F42" s="40" t="s">
        <v>419</v>
      </c>
      <c r="G42" s="2" t="str">
        <f t="shared" si="0"/>
        <v>无尽狂潮40</v>
      </c>
    </row>
    <row r="43" spans="1:7" ht="16.5" customHeight="1" x14ac:dyDescent="0.2">
      <c r="A43" s="40" t="s">
        <v>460</v>
      </c>
      <c r="B43" s="41">
        <v>6316545.9938814398</v>
      </c>
      <c r="C43" s="41">
        <v>489.316543851988</v>
      </c>
      <c r="D43" s="41">
        <v>339957.41246844799</v>
      </c>
      <c r="F43" s="40" t="s">
        <v>419</v>
      </c>
      <c r="G43" s="2" t="str">
        <f t="shared" si="0"/>
        <v>无尽狂潮41</v>
      </c>
    </row>
    <row r="44" spans="1:7" ht="16.5" customHeight="1" x14ac:dyDescent="0.2">
      <c r="A44" s="40" t="s">
        <v>461</v>
      </c>
      <c r="B44" s="41">
        <v>8877027.1510668993</v>
      </c>
      <c r="C44" s="41">
        <v>559.60719086830602</v>
      </c>
      <c r="D44" s="41">
        <v>380505.78445835202</v>
      </c>
      <c r="F44" s="40" t="s">
        <v>419</v>
      </c>
      <c r="G44" s="2" t="str">
        <f t="shared" si="0"/>
        <v>无尽狂潮42</v>
      </c>
    </row>
    <row r="45" spans="1:7" ht="16.5" customHeight="1" x14ac:dyDescent="0.2">
      <c r="A45" s="40" t="s">
        <v>462</v>
      </c>
      <c r="B45" s="41">
        <v>12597239.640557701</v>
      </c>
      <c r="C45" s="41">
        <v>641.14434140723495</v>
      </c>
      <c r="D45" s="41">
        <v>430345.63548502402</v>
      </c>
      <c r="F45" s="40" t="s">
        <v>419</v>
      </c>
      <c r="G45" s="2" t="str">
        <f t="shared" si="0"/>
        <v>无尽狂潮43</v>
      </c>
    </row>
    <row r="46" spans="1:7" ht="16.5" customHeight="1" x14ac:dyDescent="0.2">
      <c r="A46" s="40" t="s">
        <v>463</v>
      </c>
      <c r="B46" s="41">
        <v>18010199.8752142</v>
      </c>
      <c r="C46" s="41">
        <v>735.72743603239201</v>
      </c>
      <c r="D46" s="41">
        <v>492354.23884023202</v>
      </c>
      <c r="F46" s="40" t="s">
        <v>419</v>
      </c>
      <c r="G46" s="2" t="str">
        <f t="shared" si="0"/>
        <v>无尽狂潮44</v>
      </c>
    </row>
    <row r="47" spans="1:7" ht="16.5" customHeight="1" x14ac:dyDescent="0.2">
      <c r="A47" s="40" t="s">
        <v>464</v>
      </c>
      <c r="B47" s="41">
        <v>25894111.8178127</v>
      </c>
      <c r="C47" s="41">
        <v>845.44382579757496</v>
      </c>
      <c r="D47" s="41">
        <v>570329.59526910598</v>
      </c>
      <c r="F47" s="40" t="s">
        <v>419</v>
      </c>
      <c r="G47" s="2" t="str">
        <f t="shared" si="0"/>
        <v>无尽狂潮45</v>
      </c>
    </row>
    <row r="48" spans="1:7" ht="16.5" customHeight="1" x14ac:dyDescent="0.2">
      <c r="A48" s="40" t="s">
        <v>465</v>
      </c>
      <c r="B48" s="41">
        <v>37385153.254006602</v>
      </c>
      <c r="C48" s="41">
        <v>972.714837925187</v>
      </c>
      <c r="D48" s="41">
        <v>669285.06575522001</v>
      </c>
      <c r="F48" s="40" t="s">
        <v>419</v>
      </c>
      <c r="G48" s="2" t="str">
        <f t="shared" si="0"/>
        <v>无尽狂潮46</v>
      </c>
    </row>
    <row r="49" spans="1:7" ht="16.5" customHeight="1" x14ac:dyDescent="0.2">
      <c r="A49" s="40" t="s">
        <v>466</v>
      </c>
      <c r="B49" s="41">
        <v>54142143.750849701</v>
      </c>
      <c r="C49" s="41">
        <v>1120.34921199322</v>
      </c>
      <c r="D49" s="41">
        <v>795838.28679689101</v>
      </c>
      <c r="F49" s="40" t="s">
        <v>419</v>
      </c>
      <c r="G49" s="2" t="str">
        <f t="shared" si="0"/>
        <v>无尽狂潮47</v>
      </c>
    </row>
    <row r="50" spans="1:7" ht="16.5" customHeight="1" x14ac:dyDescent="0.2">
      <c r="A50" s="40" t="s">
        <v>467</v>
      </c>
      <c r="B50" s="41">
        <v>78586959.876240507</v>
      </c>
      <c r="C50" s="41">
        <v>1291.6050859121301</v>
      </c>
      <c r="D50" s="41">
        <v>958724.53857189603</v>
      </c>
      <c r="F50" s="40" t="s">
        <v>419</v>
      </c>
      <c r="G50" s="2" t="str">
        <f t="shared" si="0"/>
        <v>无尽狂潮48</v>
      </c>
    </row>
    <row r="51" spans="1:7" ht="16.5" customHeight="1" x14ac:dyDescent="0.2">
      <c r="A51" s="40" t="s">
        <v>468</v>
      </c>
      <c r="B51" s="41">
        <v>114255541.419311</v>
      </c>
      <c r="C51" s="41">
        <v>1490.26189965807</v>
      </c>
      <c r="D51" s="41">
        <v>1169474.3909149</v>
      </c>
      <c r="F51" s="40" t="s">
        <v>419</v>
      </c>
      <c r="G51" s="2" t="str">
        <f t="shared" si="0"/>
        <v>无尽狂潮49</v>
      </c>
    </row>
    <row r="52" spans="1:7" ht="16.5" customHeight="1" x14ac:dyDescent="0.2">
      <c r="A52" s="40" t="s">
        <v>469</v>
      </c>
      <c r="B52" s="41">
        <v>166310360.47219399</v>
      </c>
      <c r="C52" s="41">
        <v>1720.70380360336</v>
      </c>
      <c r="D52" s="41">
        <v>1443308.1960076699</v>
      </c>
      <c r="F52" s="40" t="s">
        <v>419</v>
      </c>
      <c r="G52" s="2" t="str">
        <f t="shared" si="0"/>
        <v>无尽狂潮50</v>
      </c>
    </row>
    <row r="53" spans="1:7" ht="16.5" customHeight="1" x14ac:dyDescent="0.2">
      <c r="A53" s="40" t="s">
        <v>470</v>
      </c>
      <c r="B53" s="40">
        <v>173200000</v>
      </c>
      <c r="C53" s="42">
        <v>1836</v>
      </c>
      <c r="D53" s="40">
        <v>1530000</v>
      </c>
      <c r="F53" s="40" t="s">
        <v>419</v>
      </c>
      <c r="G53" s="2" t="str">
        <f t="shared" si="0"/>
        <v>无尽狂潮51</v>
      </c>
    </row>
    <row r="54" spans="1:7" ht="16.5" customHeight="1" x14ac:dyDescent="0.2">
      <c r="A54" s="40" t="s">
        <v>471</v>
      </c>
      <c r="B54" s="40">
        <v>176400000</v>
      </c>
      <c r="C54" s="42">
        <v>1872</v>
      </c>
      <c r="D54" s="40">
        <v>1560000</v>
      </c>
      <c r="F54" s="40" t="s">
        <v>419</v>
      </c>
      <c r="G54" s="2" t="str">
        <f t="shared" si="0"/>
        <v>无尽狂潮52</v>
      </c>
    </row>
    <row r="55" spans="1:7" ht="16.5" customHeight="1" x14ac:dyDescent="0.2">
      <c r="A55" s="40" t="s">
        <v>472</v>
      </c>
      <c r="B55" s="40">
        <v>179600000</v>
      </c>
      <c r="C55" s="42">
        <v>1908</v>
      </c>
      <c r="D55" s="40">
        <v>1590000</v>
      </c>
      <c r="F55" s="40" t="s">
        <v>419</v>
      </c>
      <c r="G55" s="2" t="str">
        <f t="shared" si="0"/>
        <v>无尽狂潮53</v>
      </c>
    </row>
    <row r="56" spans="1:7" ht="16.5" customHeight="1" x14ac:dyDescent="0.2">
      <c r="A56" s="40" t="s">
        <v>473</v>
      </c>
      <c r="B56" s="40">
        <v>182800000</v>
      </c>
      <c r="C56" s="42">
        <v>1944</v>
      </c>
      <c r="D56" s="40">
        <v>1620000</v>
      </c>
      <c r="F56" s="40" t="s">
        <v>419</v>
      </c>
      <c r="G56" s="2" t="str">
        <f t="shared" si="0"/>
        <v>无尽狂潮54</v>
      </c>
    </row>
    <row r="57" spans="1:7" ht="16.5" customHeight="1" x14ac:dyDescent="0.2">
      <c r="A57" s="40" t="s">
        <v>474</v>
      </c>
      <c r="B57" s="40">
        <v>186000000</v>
      </c>
      <c r="C57" s="42">
        <v>1980</v>
      </c>
      <c r="D57" s="40">
        <v>1650000</v>
      </c>
      <c r="F57" s="40" t="s">
        <v>419</v>
      </c>
      <c r="G57" s="2" t="str">
        <f t="shared" si="0"/>
        <v>无尽狂潮55</v>
      </c>
    </row>
    <row r="58" spans="1:7" ht="16.5" customHeight="1" x14ac:dyDescent="0.2">
      <c r="A58" s="40" t="s">
        <v>475</v>
      </c>
      <c r="B58" s="40">
        <v>189200000</v>
      </c>
      <c r="C58" s="42">
        <v>2016</v>
      </c>
      <c r="D58" s="40">
        <v>1680000</v>
      </c>
      <c r="F58" s="40" t="s">
        <v>419</v>
      </c>
      <c r="G58" s="2" t="str">
        <f t="shared" si="0"/>
        <v>无尽狂潮56</v>
      </c>
    </row>
    <row r="59" spans="1:7" ht="16.5" customHeight="1" x14ac:dyDescent="0.2">
      <c r="A59" s="40" t="s">
        <v>476</v>
      </c>
      <c r="B59" s="40">
        <v>192400000</v>
      </c>
      <c r="C59" s="42">
        <v>2052</v>
      </c>
      <c r="D59" s="40">
        <v>1710000</v>
      </c>
      <c r="F59" s="40" t="s">
        <v>419</v>
      </c>
      <c r="G59" s="2" t="str">
        <f t="shared" si="0"/>
        <v>无尽狂潮57</v>
      </c>
    </row>
    <row r="60" spans="1:7" ht="16.5" customHeight="1" x14ac:dyDescent="0.2">
      <c r="A60" s="40" t="s">
        <v>477</v>
      </c>
      <c r="B60" s="40">
        <v>195600000</v>
      </c>
      <c r="C60" s="42">
        <v>2088</v>
      </c>
      <c r="D60" s="40">
        <v>1740000</v>
      </c>
      <c r="F60" s="40" t="s">
        <v>419</v>
      </c>
      <c r="G60" s="2" t="str">
        <f t="shared" si="0"/>
        <v>无尽狂潮58</v>
      </c>
    </row>
    <row r="61" spans="1:7" ht="16.5" customHeight="1" x14ac:dyDescent="0.2">
      <c r="A61" s="40" t="s">
        <v>478</v>
      </c>
      <c r="B61" s="40">
        <v>198800000</v>
      </c>
      <c r="C61" s="42">
        <v>2124</v>
      </c>
      <c r="D61" s="40">
        <v>1770000</v>
      </c>
      <c r="F61" s="40" t="s">
        <v>419</v>
      </c>
      <c r="G61" s="2" t="str">
        <f t="shared" si="0"/>
        <v>无尽狂潮59</v>
      </c>
    </row>
    <row r="62" spans="1:7" ht="16.5" customHeight="1" x14ac:dyDescent="0.2">
      <c r="A62" s="40" t="s">
        <v>479</v>
      </c>
      <c r="B62" s="40">
        <v>202000000</v>
      </c>
      <c r="C62" s="42">
        <v>2160</v>
      </c>
      <c r="D62" s="40">
        <v>1800000</v>
      </c>
      <c r="F62" s="40" t="s">
        <v>419</v>
      </c>
      <c r="G62" s="2" t="str">
        <f t="shared" si="0"/>
        <v>无尽狂潮60</v>
      </c>
    </row>
    <row r="63" spans="1:7" ht="16.5" customHeight="1" x14ac:dyDescent="0.2">
      <c r="A63" s="40" t="s">
        <v>480</v>
      </c>
      <c r="B63" s="40">
        <v>205200000</v>
      </c>
      <c r="C63" s="42">
        <v>2196</v>
      </c>
      <c r="D63" s="40">
        <v>1830000</v>
      </c>
      <c r="F63" s="40" t="s">
        <v>419</v>
      </c>
      <c r="G63" s="2" t="str">
        <f t="shared" si="0"/>
        <v>无尽狂潮61</v>
      </c>
    </row>
    <row r="64" spans="1:7" ht="16.5" customHeight="1" x14ac:dyDescent="0.2">
      <c r="A64" s="40" t="s">
        <v>481</v>
      </c>
      <c r="B64" s="40">
        <v>208400000</v>
      </c>
      <c r="C64" s="42">
        <v>2232</v>
      </c>
      <c r="D64" s="40">
        <v>1860000</v>
      </c>
      <c r="F64" s="40" t="s">
        <v>419</v>
      </c>
      <c r="G64" s="2" t="str">
        <f t="shared" si="0"/>
        <v>无尽狂潮62</v>
      </c>
    </row>
    <row r="65" spans="1:7" ht="16.5" customHeight="1" x14ac:dyDescent="0.2">
      <c r="A65" s="40" t="s">
        <v>482</v>
      </c>
      <c r="B65" s="40">
        <v>211600000</v>
      </c>
      <c r="C65" s="42">
        <v>2268</v>
      </c>
      <c r="D65" s="40">
        <v>1890000</v>
      </c>
      <c r="F65" s="40" t="s">
        <v>419</v>
      </c>
      <c r="G65" s="2" t="str">
        <f t="shared" si="0"/>
        <v>无尽狂潮63</v>
      </c>
    </row>
    <row r="66" spans="1:7" ht="16.5" customHeight="1" x14ac:dyDescent="0.2">
      <c r="A66" s="40" t="s">
        <v>483</v>
      </c>
      <c r="B66" s="40">
        <v>214800000</v>
      </c>
      <c r="C66" s="42">
        <v>2304</v>
      </c>
      <c r="D66" s="40">
        <v>1920000</v>
      </c>
      <c r="F66" s="40" t="s">
        <v>419</v>
      </c>
      <c r="G66" s="2" t="str">
        <f t="shared" si="0"/>
        <v>无尽狂潮64</v>
      </c>
    </row>
    <row r="67" spans="1:7" ht="16.5" customHeight="1" x14ac:dyDescent="0.2">
      <c r="A67" s="40" t="s">
        <v>484</v>
      </c>
      <c r="B67" s="40">
        <v>218000000</v>
      </c>
      <c r="C67" s="42">
        <v>2340</v>
      </c>
      <c r="D67" s="40">
        <v>1950000</v>
      </c>
      <c r="F67" s="40" t="s">
        <v>419</v>
      </c>
      <c r="G67" s="2" t="str">
        <f t="shared" si="0"/>
        <v>无尽狂潮65</v>
      </c>
    </row>
    <row r="68" spans="1:7" ht="16.5" customHeight="1" x14ac:dyDescent="0.2">
      <c r="A68" s="40" t="s">
        <v>485</v>
      </c>
      <c r="B68" s="40">
        <v>221200000</v>
      </c>
      <c r="C68" s="42">
        <v>2376</v>
      </c>
      <c r="D68" s="40">
        <v>1980000</v>
      </c>
      <c r="F68" s="40" t="s">
        <v>419</v>
      </c>
      <c r="G68" s="2" t="str">
        <f t="shared" ref="G68:G131" si="1">A68</f>
        <v>无尽狂潮66</v>
      </c>
    </row>
    <row r="69" spans="1:7" ht="16.5" customHeight="1" x14ac:dyDescent="0.2">
      <c r="A69" s="40" t="s">
        <v>486</v>
      </c>
      <c r="B69" s="40">
        <v>224400000</v>
      </c>
      <c r="C69" s="42">
        <v>2412</v>
      </c>
      <c r="D69" s="40">
        <v>2010000</v>
      </c>
      <c r="F69" s="40" t="s">
        <v>419</v>
      </c>
      <c r="G69" s="2" t="str">
        <f t="shared" si="1"/>
        <v>无尽狂潮67</v>
      </c>
    </row>
    <row r="70" spans="1:7" ht="16.5" customHeight="1" x14ac:dyDescent="0.2">
      <c r="A70" s="40" t="s">
        <v>487</v>
      </c>
      <c r="B70" s="40">
        <v>227600000</v>
      </c>
      <c r="C70" s="42">
        <v>2448</v>
      </c>
      <c r="D70" s="40">
        <v>2040000</v>
      </c>
      <c r="F70" s="40" t="s">
        <v>419</v>
      </c>
      <c r="G70" s="2" t="str">
        <f t="shared" si="1"/>
        <v>无尽狂潮68</v>
      </c>
    </row>
    <row r="71" spans="1:7" ht="16.5" customHeight="1" x14ac:dyDescent="0.2">
      <c r="A71" s="40" t="s">
        <v>488</v>
      </c>
      <c r="B71" s="40">
        <v>230800000</v>
      </c>
      <c r="C71" s="42">
        <v>2484</v>
      </c>
      <c r="D71" s="40">
        <v>2070000</v>
      </c>
      <c r="F71" s="40" t="s">
        <v>419</v>
      </c>
      <c r="G71" s="2" t="str">
        <f t="shared" si="1"/>
        <v>无尽狂潮69</v>
      </c>
    </row>
    <row r="72" spans="1:7" ht="16.5" customHeight="1" x14ac:dyDescent="0.2">
      <c r="A72" s="40" t="s">
        <v>489</v>
      </c>
      <c r="B72" s="40">
        <v>234000000</v>
      </c>
      <c r="C72" s="42">
        <v>2520</v>
      </c>
      <c r="D72" s="40">
        <v>2100000</v>
      </c>
      <c r="F72" s="40" t="s">
        <v>419</v>
      </c>
      <c r="G72" s="2" t="str">
        <f t="shared" si="1"/>
        <v>无尽狂潮70</v>
      </c>
    </row>
    <row r="73" spans="1:7" ht="16.5" customHeight="1" x14ac:dyDescent="0.2">
      <c r="A73" s="40" t="s">
        <v>490</v>
      </c>
      <c r="B73" s="40">
        <v>237200000</v>
      </c>
      <c r="C73" s="42">
        <v>2556</v>
      </c>
      <c r="D73" s="40">
        <v>2130000</v>
      </c>
      <c r="F73" s="40" t="s">
        <v>419</v>
      </c>
      <c r="G73" s="2" t="str">
        <f t="shared" si="1"/>
        <v>无尽狂潮71</v>
      </c>
    </row>
    <row r="74" spans="1:7" ht="16.5" customHeight="1" x14ac:dyDescent="0.2">
      <c r="A74" s="40" t="s">
        <v>491</v>
      </c>
      <c r="B74" s="40">
        <v>240400000</v>
      </c>
      <c r="C74" s="42">
        <v>2592</v>
      </c>
      <c r="D74" s="40">
        <v>2160000</v>
      </c>
      <c r="F74" s="40" t="s">
        <v>419</v>
      </c>
      <c r="G74" s="2" t="str">
        <f t="shared" si="1"/>
        <v>无尽狂潮72</v>
      </c>
    </row>
    <row r="75" spans="1:7" ht="16.5" customHeight="1" x14ac:dyDescent="0.2">
      <c r="A75" s="40" t="s">
        <v>492</v>
      </c>
      <c r="B75" s="40">
        <v>243600000</v>
      </c>
      <c r="C75" s="42">
        <v>2628</v>
      </c>
      <c r="D75" s="40">
        <v>2190000</v>
      </c>
      <c r="F75" s="40" t="s">
        <v>419</v>
      </c>
      <c r="G75" s="2" t="str">
        <f t="shared" si="1"/>
        <v>无尽狂潮73</v>
      </c>
    </row>
    <row r="76" spans="1:7" ht="16.5" customHeight="1" x14ac:dyDescent="0.2">
      <c r="A76" s="40" t="s">
        <v>493</v>
      </c>
      <c r="B76" s="40">
        <v>246800000</v>
      </c>
      <c r="C76" s="42">
        <v>2664</v>
      </c>
      <c r="D76" s="40">
        <v>2220000</v>
      </c>
      <c r="F76" s="40" t="s">
        <v>419</v>
      </c>
      <c r="G76" s="2" t="str">
        <f t="shared" si="1"/>
        <v>无尽狂潮74</v>
      </c>
    </row>
    <row r="77" spans="1:7" ht="16.5" customHeight="1" x14ac:dyDescent="0.2">
      <c r="A77" s="40" t="s">
        <v>494</v>
      </c>
      <c r="B77" s="40">
        <v>250000000</v>
      </c>
      <c r="C77" s="42">
        <v>2700</v>
      </c>
      <c r="D77" s="40">
        <v>2250000</v>
      </c>
      <c r="F77" s="40" t="s">
        <v>419</v>
      </c>
      <c r="G77" s="2" t="str">
        <f t="shared" si="1"/>
        <v>无尽狂潮75</v>
      </c>
    </row>
    <row r="78" spans="1:7" ht="16.5" customHeight="1" x14ac:dyDescent="0.2">
      <c r="A78" s="40" t="s">
        <v>495</v>
      </c>
      <c r="B78" s="40">
        <v>253200000</v>
      </c>
      <c r="C78" s="42">
        <v>2736</v>
      </c>
      <c r="D78" s="40">
        <v>2280000</v>
      </c>
      <c r="F78" s="40" t="s">
        <v>419</v>
      </c>
      <c r="G78" s="2" t="str">
        <f t="shared" si="1"/>
        <v>无尽狂潮76</v>
      </c>
    </row>
    <row r="79" spans="1:7" ht="16.5" customHeight="1" x14ac:dyDescent="0.2">
      <c r="A79" s="40" t="s">
        <v>496</v>
      </c>
      <c r="B79" s="40">
        <v>256400000</v>
      </c>
      <c r="C79" s="42">
        <v>2772</v>
      </c>
      <c r="D79" s="40">
        <v>2310000</v>
      </c>
      <c r="F79" s="40" t="s">
        <v>419</v>
      </c>
      <c r="G79" s="2" t="str">
        <f t="shared" si="1"/>
        <v>无尽狂潮77</v>
      </c>
    </row>
    <row r="80" spans="1:7" ht="16.5" customHeight="1" x14ac:dyDescent="0.2">
      <c r="A80" s="40" t="s">
        <v>497</v>
      </c>
      <c r="B80" s="40">
        <v>259600000</v>
      </c>
      <c r="C80" s="42">
        <v>2808</v>
      </c>
      <c r="D80" s="40">
        <v>2340000</v>
      </c>
      <c r="F80" s="40" t="s">
        <v>419</v>
      </c>
      <c r="G80" s="2" t="str">
        <f t="shared" si="1"/>
        <v>无尽狂潮78</v>
      </c>
    </row>
    <row r="81" spans="1:7" ht="16.5" customHeight="1" x14ac:dyDescent="0.2">
      <c r="A81" s="40" t="s">
        <v>498</v>
      </c>
      <c r="B81" s="40">
        <v>262800000</v>
      </c>
      <c r="C81" s="42">
        <v>2844</v>
      </c>
      <c r="D81" s="40">
        <v>2370000</v>
      </c>
      <c r="F81" s="40" t="s">
        <v>419</v>
      </c>
      <c r="G81" s="2" t="str">
        <f t="shared" si="1"/>
        <v>无尽狂潮79</v>
      </c>
    </row>
    <row r="82" spans="1:7" ht="16.5" customHeight="1" x14ac:dyDescent="0.2">
      <c r="A82" s="40" t="s">
        <v>499</v>
      </c>
      <c r="B82" s="40">
        <v>266000000</v>
      </c>
      <c r="C82" s="42">
        <v>2880</v>
      </c>
      <c r="D82" s="40">
        <v>2400000</v>
      </c>
      <c r="F82" s="40" t="s">
        <v>419</v>
      </c>
      <c r="G82" s="2" t="str">
        <f t="shared" si="1"/>
        <v>无尽狂潮80</v>
      </c>
    </row>
    <row r="83" spans="1:7" ht="16.5" customHeight="1" x14ac:dyDescent="0.2">
      <c r="A83" s="40" t="s">
        <v>500</v>
      </c>
      <c r="B83" s="40">
        <v>269200000</v>
      </c>
      <c r="C83" s="42">
        <v>2916</v>
      </c>
      <c r="D83" s="40">
        <v>2430000</v>
      </c>
      <c r="F83" s="40" t="s">
        <v>419</v>
      </c>
      <c r="G83" s="2" t="str">
        <f t="shared" si="1"/>
        <v>无尽狂潮81</v>
      </c>
    </row>
    <row r="84" spans="1:7" ht="16.5" customHeight="1" x14ac:dyDescent="0.2">
      <c r="A84" s="40" t="s">
        <v>501</v>
      </c>
      <c r="B84" s="40">
        <v>272400000</v>
      </c>
      <c r="C84" s="42">
        <v>2952</v>
      </c>
      <c r="D84" s="40">
        <v>2460000</v>
      </c>
      <c r="F84" s="40" t="s">
        <v>419</v>
      </c>
      <c r="G84" s="2" t="str">
        <f t="shared" si="1"/>
        <v>无尽狂潮82</v>
      </c>
    </row>
    <row r="85" spans="1:7" ht="16.5" customHeight="1" x14ac:dyDescent="0.2">
      <c r="A85" s="40" t="s">
        <v>502</v>
      </c>
      <c r="B85" s="40">
        <v>275600000</v>
      </c>
      <c r="C85" s="42">
        <v>2988</v>
      </c>
      <c r="D85" s="40">
        <v>2490000</v>
      </c>
      <c r="F85" s="40" t="s">
        <v>419</v>
      </c>
      <c r="G85" s="2" t="str">
        <f t="shared" si="1"/>
        <v>无尽狂潮83</v>
      </c>
    </row>
    <row r="86" spans="1:7" ht="16.5" customHeight="1" x14ac:dyDescent="0.2">
      <c r="A86" s="40" t="s">
        <v>503</v>
      </c>
      <c r="B86" s="40">
        <v>278800000</v>
      </c>
      <c r="C86" s="42">
        <v>3024</v>
      </c>
      <c r="D86" s="40">
        <v>2520000</v>
      </c>
      <c r="F86" s="40" t="s">
        <v>419</v>
      </c>
      <c r="G86" s="2" t="str">
        <f t="shared" si="1"/>
        <v>无尽狂潮84</v>
      </c>
    </row>
    <row r="87" spans="1:7" ht="16.5" customHeight="1" x14ac:dyDescent="0.2">
      <c r="A87" s="40" t="s">
        <v>504</v>
      </c>
      <c r="B87" s="40">
        <v>282000000</v>
      </c>
      <c r="C87" s="42">
        <v>3060</v>
      </c>
      <c r="D87" s="40">
        <v>2550000</v>
      </c>
      <c r="F87" s="40" t="s">
        <v>419</v>
      </c>
      <c r="G87" s="2" t="str">
        <f t="shared" si="1"/>
        <v>无尽狂潮85</v>
      </c>
    </row>
    <row r="88" spans="1:7" ht="16.5" customHeight="1" x14ac:dyDescent="0.2">
      <c r="A88" s="40" t="s">
        <v>505</v>
      </c>
      <c r="B88" s="40">
        <v>285200000</v>
      </c>
      <c r="C88" s="42">
        <v>3096</v>
      </c>
      <c r="D88" s="40">
        <v>2580000</v>
      </c>
      <c r="F88" s="40" t="s">
        <v>419</v>
      </c>
      <c r="G88" s="2" t="str">
        <f t="shared" si="1"/>
        <v>无尽狂潮86</v>
      </c>
    </row>
    <row r="89" spans="1:7" ht="16.5" customHeight="1" x14ac:dyDescent="0.2">
      <c r="A89" s="40" t="s">
        <v>506</v>
      </c>
      <c r="B89" s="40">
        <v>288400000</v>
      </c>
      <c r="C89" s="42">
        <v>3132</v>
      </c>
      <c r="D89" s="40">
        <v>2610000</v>
      </c>
      <c r="F89" s="40" t="s">
        <v>419</v>
      </c>
      <c r="G89" s="2" t="str">
        <f t="shared" si="1"/>
        <v>无尽狂潮87</v>
      </c>
    </row>
    <row r="90" spans="1:7" ht="16.5" customHeight="1" x14ac:dyDescent="0.2">
      <c r="A90" s="40" t="s">
        <v>507</v>
      </c>
      <c r="B90" s="40">
        <v>291600000</v>
      </c>
      <c r="C90" s="42">
        <v>3168</v>
      </c>
      <c r="D90" s="40">
        <v>2640000</v>
      </c>
      <c r="F90" s="40" t="s">
        <v>419</v>
      </c>
      <c r="G90" s="2" t="str">
        <f t="shared" si="1"/>
        <v>无尽狂潮88</v>
      </c>
    </row>
    <row r="91" spans="1:7" ht="16.5" customHeight="1" x14ac:dyDescent="0.2">
      <c r="A91" s="40" t="s">
        <v>508</v>
      </c>
      <c r="B91" s="40">
        <v>294800000</v>
      </c>
      <c r="C91" s="42">
        <v>3204</v>
      </c>
      <c r="D91" s="40">
        <v>2670000</v>
      </c>
      <c r="F91" s="40" t="s">
        <v>419</v>
      </c>
      <c r="G91" s="2" t="str">
        <f t="shared" si="1"/>
        <v>无尽狂潮89</v>
      </c>
    </row>
    <row r="92" spans="1:7" ht="16.5" customHeight="1" x14ac:dyDescent="0.2">
      <c r="A92" s="40" t="s">
        <v>509</v>
      </c>
      <c r="B92" s="40">
        <v>298000000</v>
      </c>
      <c r="C92" s="42">
        <v>3240</v>
      </c>
      <c r="D92" s="40">
        <v>2700000</v>
      </c>
      <c r="F92" s="40" t="s">
        <v>419</v>
      </c>
      <c r="G92" s="2" t="str">
        <f t="shared" si="1"/>
        <v>无尽狂潮90</v>
      </c>
    </row>
    <row r="93" spans="1:7" ht="16.5" customHeight="1" x14ac:dyDescent="0.2">
      <c r="A93" s="40" t="s">
        <v>510</v>
      </c>
      <c r="B93" s="40">
        <v>301200000</v>
      </c>
      <c r="C93" s="42">
        <v>3276</v>
      </c>
      <c r="D93" s="40">
        <v>2730000</v>
      </c>
      <c r="F93" s="40" t="s">
        <v>419</v>
      </c>
      <c r="G93" s="2" t="str">
        <f t="shared" si="1"/>
        <v>无尽狂潮91</v>
      </c>
    </row>
    <row r="94" spans="1:7" ht="16.5" customHeight="1" x14ac:dyDescent="0.2">
      <c r="A94" s="40" t="s">
        <v>511</v>
      </c>
      <c r="B94" s="40">
        <v>304400000</v>
      </c>
      <c r="C94" s="42">
        <v>3312</v>
      </c>
      <c r="D94" s="40">
        <v>2760000</v>
      </c>
      <c r="F94" s="40" t="s">
        <v>419</v>
      </c>
      <c r="G94" s="2" t="str">
        <f t="shared" si="1"/>
        <v>无尽狂潮92</v>
      </c>
    </row>
    <row r="95" spans="1:7" ht="16.5" customHeight="1" x14ac:dyDescent="0.2">
      <c r="A95" s="40" t="s">
        <v>512</v>
      </c>
      <c r="B95" s="40">
        <v>307600000</v>
      </c>
      <c r="C95" s="42">
        <v>3348</v>
      </c>
      <c r="D95" s="40">
        <v>2790000</v>
      </c>
      <c r="F95" s="40" t="s">
        <v>419</v>
      </c>
      <c r="G95" s="2" t="str">
        <f t="shared" si="1"/>
        <v>无尽狂潮93</v>
      </c>
    </row>
    <row r="96" spans="1:7" ht="16.5" customHeight="1" x14ac:dyDescent="0.2">
      <c r="A96" s="40" t="s">
        <v>513</v>
      </c>
      <c r="B96" s="40">
        <v>310800000</v>
      </c>
      <c r="C96" s="42">
        <v>3384</v>
      </c>
      <c r="D96" s="40">
        <v>2820000</v>
      </c>
      <c r="F96" s="40" t="s">
        <v>419</v>
      </c>
      <c r="G96" s="2" t="str">
        <f t="shared" si="1"/>
        <v>无尽狂潮94</v>
      </c>
    </row>
    <row r="97" spans="1:7" ht="16.5" customHeight="1" x14ac:dyDescent="0.2">
      <c r="A97" s="40" t="s">
        <v>514</v>
      </c>
      <c r="B97" s="40">
        <v>314000000</v>
      </c>
      <c r="C97" s="42">
        <v>3420</v>
      </c>
      <c r="D97" s="40">
        <v>2850000</v>
      </c>
      <c r="F97" s="40" t="s">
        <v>419</v>
      </c>
      <c r="G97" s="2" t="str">
        <f t="shared" si="1"/>
        <v>无尽狂潮95</v>
      </c>
    </row>
    <row r="98" spans="1:7" ht="16.5" customHeight="1" x14ac:dyDescent="0.2">
      <c r="A98" s="40" t="s">
        <v>515</v>
      </c>
      <c r="B98" s="40">
        <v>317200000</v>
      </c>
      <c r="C98" s="42">
        <v>3456</v>
      </c>
      <c r="D98" s="40">
        <v>2880000</v>
      </c>
      <c r="F98" s="40" t="s">
        <v>419</v>
      </c>
      <c r="G98" s="2" t="str">
        <f t="shared" si="1"/>
        <v>无尽狂潮96</v>
      </c>
    </row>
    <row r="99" spans="1:7" ht="16.5" customHeight="1" x14ac:dyDescent="0.2">
      <c r="A99" s="40" t="s">
        <v>516</v>
      </c>
      <c r="B99" s="40">
        <v>320400000</v>
      </c>
      <c r="C99" s="42">
        <v>3492</v>
      </c>
      <c r="D99" s="40">
        <v>2910000</v>
      </c>
      <c r="F99" s="40" t="s">
        <v>419</v>
      </c>
      <c r="G99" s="2" t="str">
        <f t="shared" si="1"/>
        <v>无尽狂潮97</v>
      </c>
    </row>
    <row r="100" spans="1:7" ht="16.5" customHeight="1" x14ac:dyDescent="0.2">
      <c r="A100" s="40" t="s">
        <v>517</v>
      </c>
      <c r="B100" s="40">
        <v>323600000</v>
      </c>
      <c r="C100" s="42">
        <v>3528</v>
      </c>
      <c r="D100" s="40">
        <v>2940000</v>
      </c>
      <c r="F100" s="40" t="s">
        <v>419</v>
      </c>
      <c r="G100" s="2" t="str">
        <f t="shared" si="1"/>
        <v>无尽狂潮98</v>
      </c>
    </row>
    <row r="101" spans="1:7" ht="16.5" customHeight="1" x14ac:dyDescent="0.2">
      <c r="A101" s="40" t="s">
        <v>518</v>
      </c>
      <c r="B101" s="40">
        <v>326800000</v>
      </c>
      <c r="C101" s="42">
        <v>3564</v>
      </c>
      <c r="D101" s="40">
        <v>2970000</v>
      </c>
      <c r="F101" s="40" t="s">
        <v>419</v>
      </c>
      <c r="G101" s="2" t="str">
        <f t="shared" si="1"/>
        <v>无尽狂潮99</v>
      </c>
    </row>
    <row r="102" spans="1:7" ht="16.5" customHeight="1" x14ac:dyDescent="0.2">
      <c r="A102" s="40" t="s">
        <v>519</v>
      </c>
      <c r="B102" s="40">
        <v>330000000</v>
      </c>
      <c r="C102" s="42">
        <v>3600</v>
      </c>
      <c r="D102" s="40">
        <v>3000000</v>
      </c>
      <c r="F102" s="40" t="s">
        <v>419</v>
      </c>
      <c r="G102" s="2" t="str">
        <f t="shared" si="1"/>
        <v>无尽狂潮100</v>
      </c>
    </row>
    <row r="103" spans="1:7" ht="16.5" customHeight="1" x14ac:dyDescent="0.2">
      <c r="A103" s="40" t="s">
        <v>520</v>
      </c>
      <c r="B103" s="40">
        <v>333200000</v>
      </c>
      <c r="C103" s="42">
        <v>3636</v>
      </c>
      <c r="D103" s="40">
        <v>3030000</v>
      </c>
      <c r="F103" s="40" t="s">
        <v>419</v>
      </c>
      <c r="G103" s="2" t="str">
        <f t="shared" si="1"/>
        <v>无尽狂潮101</v>
      </c>
    </row>
    <row r="104" spans="1:7" ht="16.5" customHeight="1" x14ac:dyDescent="0.2">
      <c r="A104" s="40" t="s">
        <v>521</v>
      </c>
      <c r="B104" s="40">
        <v>336400000</v>
      </c>
      <c r="C104" s="42">
        <v>3672</v>
      </c>
      <c r="D104" s="40">
        <v>3060000</v>
      </c>
      <c r="F104" s="40" t="s">
        <v>419</v>
      </c>
      <c r="G104" s="2" t="str">
        <f t="shared" si="1"/>
        <v>无尽狂潮102</v>
      </c>
    </row>
    <row r="105" spans="1:7" ht="16.5" customHeight="1" x14ac:dyDescent="0.2">
      <c r="A105" s="40" t="s">
        <v>522</v>
      </c>
      <c r="B105" s="40">
        <v>339600000</v>
      </c>
      <c r="C105" s="42">
        <v>3708</v>
      </c>
      <c r="D105" s="40">
        <v>3090000</v>
      </c>
      <c r="F105" s="40" t="s">
        <v>419</v>
      </c>
      <c r="G105" s="2" t="str">
        <f t="shared" si="1"/>
        <v>无尽狂潮103</v>
      </c>
    </row>
    <row r="106" spans="1:7" ht="16.5" customHeight="1" x14ac:dyDescent="0.2">
      <c r="A106" s="40" t="s">
        <v>523</v>
      </c>
      <c r="B106" s="40">
        <v>342800000</v>
      </c>
      <c r="C106" s="42">
        <v>3744</v>
      </c>
      <c r="D106" s="40">
        <v>3120000</v>
      </c>
      <c r="F106" s="40" t="s">
        <v>419</v>
      </c>
      <c r="G106" s="2" t="str">
        <f t="shared" si="1"/>
        <v>无尽狂潮104</v>
      </c>
    </row>
    <row r="107" spans="1:7" ht="16.5" customHeight="1" x14ac:dyDescent="0.2">
      <c r="A107" s="40" t="s">
        <v>524</v>
      </c>
      <c r="B107" s="40">
        <v>346000000</v>
      </c>
      <c r="C107" s="42">
        <v>3780</v>
      </c>
      <c r="D107" s="40">
        <v>3150000</v>
      </c>
      <c r="F107" s="40" t="s">
        <v>419</v>
      </c>
      <c r="G107" s="2" t="str">
        <f t="shared" si="1"/>
        <v>无尽狂潮105</v>
      </c>
    </row>
    <row r="108" spans="1:7" ht="16.5" customHeight="1" x14ac:dyDescent="0.2">
      <c r="A108" s="40" t="s">
        <v>525</v>
      </c>
      <c r="B108" s="40">
        <v>349200000</v>
      </c>
      <c r="C108" s="42">
        <v>3816</v>
      </c>
      <c r="D108" s="40">
        <v>3180000</v>
      </c>
      <c r="F108" s="40" t="s">
        <v>419</v>
      </c>
      <c r="G108" s="2" t="str">
        <f t="shared" si="1"/>
        <v>无尽狂潮106</v>
      </c>
    </row>
    <row r="109" spans="1:7" ht="16.5" customHeight="1" x14ac:dyDescent="0.2">
      <c r="A109" s="40" t="s">
        <v>526</v>
      </c>
      <c r="B109" s="40">
        <v>352400000</v>
      </c>
      <c r="C109" s="42">
        <v>3852</v>
      </c>
      <c r="D109" s="40">
        <v>3210000</v>
      </c>
      <c r="F109" s="40" t="s">
        <v>419</v>
      </c>
      <c r="G109" s="2" t="str">
        <f t="shared" si="1"/>
        <v>无尽狂潮107</v>
      </c>
    </row>
    <row r="110" spans="1:7" ht="16.5" customHeight="1" x14ac:dyDescent="0.2">
      <c r="A110" s="40" t="s">
        <v>527</v>
      </c>
      <c r="B110" s="40">
        <v>355600000</v>
      </c>
      <c r="C110" s="42">
        <v>3888</v>
      </c>
      <c r="D110" s="40">
        <v>3240000</v>
      </c>
      <c r="F110" s="40" t="s">
        <v>419</v>
      </c>
      <c r="G110" s="2" t="str">
        <f t="shared" si="1"/>
        <v>无尽狂潮108</v>
      </c>
    </row>
    <row r="111" spans="1:7" ht="16.5" customHeight="1" x14ac:dyDescent="0.2">
      <c r="A111" s="40" t="s">
        <v>528</v>
      </c>
      <c r="B111" s="40">
        <v>358800000</v>
      </c>
      <c r="C111" s="42">
        <v>3924</v>
      </c>
      <c r="D111" s="40">
        <v>3270000</v>
      </c>
      <c r="F111" s="40" t="s">
        <v>419</v>
      </c>
      <c r="G111" s="2" t="str">
        <f t="shared" si="1"/>
        <v>无尽狂潮109</v>
      </c>
    </row>
    <row r="112" spans="1:7" ht="16.5" customHeight="1" x14ac:dyDescent="0.2">
      <c r="A112" s="40" t="s">
        <v>529</v>
      </c>
      <c r="B112" s="40">
        <v>362000000</v>
      </c>
      <c r="C112" s="42">
        <v>3960</v>
      </c>
      <c r="D112" s="40">
        <v>3300000</v>
      </c>
      <c r="F112" s="40" t="s">
        <v>419</v>
      </c>
      <c r="G112" s="2" t="str">
        <f t="shared" si="1"/>
        <v>无尽狂潮110</v>
      </c>
    </row>
    <row r="113" spans="1:7" ht="16.5" customHeight="1" x14ac:dyDescent="0.2">
      <c r="A113" s="40" t="s">
        <v>530</v>
      </c>
      <c r="B113" s="40">
        <v>365200000</v>
      </c>
      <c r="C113" s="42">
        <v>3996</v>
      </c>
      <c r="D113" s="40">
        <v>3330000</v>
      </c>
      <c r="F113" s="40" t="s">
        <v>419</v>
      </c>
      <c r="G113" s="2" t="str">
        <f t="shared" si="1"/>
        <v>无尽狂潮111</v>
      </c>
    </row>
    <row r="114" spans="1:7" ht="16.5" customHeight="1" x14ac:dyDescent="0.2">
      <c r="A114" s="40" t="s">
        <v>531</v>
      </c>
      <c r="B114" s="40">
        <v>368400000</v>
      </c>
      <c r="C114" s="42">
        <v>4032</v>
      </c>
      <c r="D114" s="40">
        <v>3360000</v>
      </c>
      <c r="F114" s="40" t="s">
        <v>419</v>
      </c>
      <c r="G114" s="2" t="str">
        <f t="shared" si="1"/>
        <v>无尽狂潮112</v>
      </c>
    </row>
    <row r="115" spans="1:7" ht="16.5" customHeight="1" x14ac:dyDescent="0.2">
      <c r="A115" s="40" t="s">
        <v>532</v>
      </c>
      <c r="B115" s="40">
        <v>371600000</v>
      </c>
      <c r="C115" s="42">
        <v>4068</v>
      </c>
      <c r="D115" s="40">
        <v>3390000</v>
      </c>
      <c r="F115" s="40" t="s">
        <v>419</v>
      </c>
      <c r="G115" s="2" t="str">
        <f t="shared" si="1"/>
        <v>无尽狂潮113</v>
      </c>
    </row>
    <row r="116" spans="1:7" ht="16.5" customHeight="1" x14ac:dyDescent="0.2">
      <c r="A116" s="40" t="s">
        <v>533</v>
      </c>
      <c r="B116" s="40">
        <v>374800000</v>
      </c>
      <c r="C116" s="42">
        <v>4104</v>
      </c>
      <c r="D116" s="40">
        <v>3420000</v>
      </c>
      <c r="F116" s="40" t="s">
        <v>419</v>
      </c>
      <c r="G116" s="2" t="str">
        <f t="shared" si="1"/>
        <v>无尽狂潮114</v>
      </c>
    </row>
    <row r="117" spans="1:7" ht="16.5" customHeight="1" x14ac:dyDescent="0.2">
      <c r="A117" s="40" t="s">
        <v>534</v>
      </c>
      <c r="B117" s="40">
        <v>378000000</v>
      </c>
      <c r="C117" s="42">
        <v>4140</v>
      </c>
      <c r="D117" s="40">
        <v>3450000</v>
      </c>
      <c r="F117" s="40" t="s">
        <v>419</v>
      </c>
      <c r="G117" s="2" t="str">
        <f t="shared" si="1"/>
        <v>无尽狂潮115</v>
      </c>
    </row>
    <row r="118" spans="1:7" ht="16.5" customHeight="1" x14ac:dyDescent="0.2">
      <c r="A118" s="40" t="s">
        <v>535</v>
      </c>
      <c r="B118" s="40">
        <v>381200000</v>
      </c>
      <c r="C118" s="42">
        <v>4176</v>
      </c>
      <c r="D118" s="40">
        <v>3480000</v>
      </c>
      <c r="F118" s="40" t="s">
        <v>419</v>
      </c>
      <c r="G118" s="2" t="str">
        <f t="shared" si="1"/>
        <v>无尽狂潮116</v>
      </c>
    </row>
    <row r="119" spans="1:7" ht="16.5" customHeight="1" x14ac:dyDescent="0.2">
      <c r="A119" s="40" t="s">
        <v>536</v>
      </c>
      <c r="B119" s="40">
        <v>384400000</v>
      </c>
      <c r="C119" s="42">
        <v>4212</v>
      </c>
      <c r="D119" s="40">
        <v>3510000</v>
      </c>
      <c r="F119" s="40" t="s">
        <v>419</v>
      </c>
      <c r="G119" s="2" t="str">
        <f t="shared" si="1"/>
        <v>无尽狂潮117</v>
      </c>
    </row>
    <row r="120" spans="1:7" ht="16.5" customHeight="1" x14ac:dyDescent="0.2">
      <c r="A120" s="40" t="s">
        <v>537</v>
      </c>
      <c r="B120" s="40">
        <v>387600000</v>
      </c>
      <c r="C120" s="42">
        <v>4248</v>
      </c>
      <c r="D120" s="40">
        <v>3540000</v>
      </c>
      <c r="F120" s="40" t="s">
        <v>419</v>
      </c>
      <c r="G120" s="2" t="str">
        <f t="shared" si="1"/>
        <v>无尽狂潮118</v>
      </c>
    </row>
    <row r="121" spans="1:7" ht="16.5" customHeight="1" x14ac:dyDescent="0.2">
      <c r="A121" s="40" t="s">
        <v>538</v>
      </c>
      <c r="B121" s="40">
        <v>390800000</v>
      </c>
      <c r="C121" s="42">
        <v>4284</v>
      </c>
      <c r="D121" s="40">
        <v>3570000</v>
      </c>
      <c r="F121" s="40" t="s">
        <v>419</v>
      </c>
      <c r="G121" s="2" t="str">
        <f t="shared" si="1"/>
        <v>无尽狂潮119</v>
      </c>
    </row>
    <row r="122" spans="1:7" ht="16.5" customHeight="1" x14ac:dyDescent="0.2">
      <c r="A122" s="40" t="s">
        <v>539</v>
      </c>
      <c r="B122" s="40">
        <v>394000000</v>
      </c>
      <c r="C122" s="42">
        <v>4320</v>
      </c>
      <c r="D122" s="40">
        <v>3600000</v>
      </c>
      <c r="F122" s="40" t="s">
        <v>419</v>
      </c>
      <c r="G122" s="2" t="str">
        <f t="shared" si="1"/>
        <v>无尽狂潮120</v>
      </c>
    </row>
    <row r="123" spans="1:7" ht="16.5" customHeight="1" x14ac:dyDescent="0.2">
      <c r="A123" s="40" t="s">
        <v>540</v>
      </c>
      <c r="B123" s="40">
        <v>397200000</v>
      </c>
      <c r="C123" s="42">
        <v>4356</v>
      </c>
      <c r="D123" s="40">
        <v>3630000</v>
      </c>
      <c r="F123" s="40" t="s">
        <v>419</v>
      </c>
      <c r="G123" s="2" t="str">
        <f t="shared" si="1"/>
        <v>无尽狂潮121</v>
      </c>
    </row>
    <row r="124" spans="1:7" ht="16.5" customHeight="1" x14ac:dyDescent="0.2">
      <c r="A124" s="40" t="s">
        <v>541</v>
      </c>
      <c r="B124" s="40">
        <v>400400000</v>
      </c>
      <c r="C124" s="42">
        <v>4392</v>
      </c>
      <c r="D124" s="40">
        <v>3660000</v>
      </c>
      <c r="F124" s="40" t="s">
        <v>419</v>
      </c>
      <c r="G124" s="2" t="str">
        <f t="shared" si="1"/>
        <v>无尽狂潮122</v>
      </c>
    </row>
    <row r="125" spans="1:7" ht="16.5" customHeight="1" x14ac:dyDescent="0.2">
      <c r="A125" s="40" t="s">
        <v>542</v>
      </c>
      <c r="B125" s="40">
        <v>403600000</v>
      </c>
      <c r="C125" s="42">
        <v>4428</v>
      </c>
      <c r="D125" s="40">
        <v>3690000</v>
      </c>
      <c r="F125" s="40" t="s">
        <v>419</v>
      </c>
      <c r="G125" s="2" t="str">
        <f t="shared" si="1"/>
        <v>无尽狂潮123</v>
      </c>
    </row>
    <row r="126" spans="1:7" ht="16.5" customHeight="1" x14ac:dyDescent="0.2">
      <c r="A126" s="40" t="s">
        <v>543</v>
      </c>
      <c r="B126" s="40">
        <v>406800000</v>
      </c>
      <c r="C126" s="42">
        <v>4464</v>
      </c>
      <c r="D126" s="40">
        <v>3720000</v>
      </c>
      <c r="F126" s="40" t="s">
        <v>419</v>
      </c>
      <c r="G126" s="2" t="str">
        <f t="shared" si="1"/>
        <v>无尽狂潮124</v>
      </c>
    </row>
    <row r="127" spans="1:7" ht="16.5" customHeight="1" x14ac:dyDescent="0.2">
      <c r="A127" s="40" t="s">
        <v>544</v>
      </c>
      <c r="B127" s="40">
        <v>410000000</v>
      </c>
      <c r="C127" s="42">
        <v>4500</v>
      </c>
      <c r="D127" s="40">
        <v>3750000</v>
      </c>
      <c r="F127" s="40" t="s">
        <v>419</v>
      </c>
      <c r="G127" s="2" t="str">
        <f t="shared" si="1"/>
        <v>无尽狂潮125</v>
      </c>
    </row>
    <row r="128" spans="1:7" ht="16.5" customHeight="1" x14ac:dyDescent="0.2">
      <c r="A128" s="40" t="s">
        <v>545</v>
      </c>
      <c r="B128" s="40">
        <v>413200000</v>
      </c>
      <c r="C128" s="42">
        <v>4536</v>
      </c>
      <c r="D128" s="40">
        <v>3780000</v>
      </c>
      <c r="F128" s="40" t="s">
        <v>419</v>
      </c>
      <c r="G128" s="2" t="str">
        <f t="shared" si="1"/>
        <v>无尽狂潮126</v>
      </c>
    </row>
    <row r="129" spans="1:7" ht="16.5" customHeight="1" x14ac:dyDescent="0.2">
      <c r="A129" s="40" t="s">
        <v>546</v>
      </c>
      <c r="B129" s="40">
        <v>416400000</v>
      </c>
      <c r="C129" s="42">
        <v>4572</v>
      </c>
      <c r="D129" s="40">
        <v>3810000</v>
      </c>
      <c r="F129" s="40" t="s">
        <v>419</v>
      </c>
      <c r="G129" s="2" t="str">
        <f t="shared" si="1"/>
        <v>无尽狂潮127</v>
      </c>
    </row>
    <row r="130" spans="1:7" ht="16.5" customHeight="1" x14ac:dyDescent="0.2">
      <c r="A130" s="40" t="s">
        <v>547</v>
      </c>
      <c r="B130" s="40">
        <v>419600000</v>
      </c>
      <c r="C130" s="42">
        <v>4608</v>
      </c>
      <c r="D130" s="40">
        <v>3840000</v>
      </c>
      <c r="F130" s="40" t="s">
        <v>419</v>
      </c>
      <c r="G130" s="2" t="str">
        <f t="shared" si="1"/>
        <v>无尽狂潮128</v>
      </c>
    </row>
    <row r="131" spans="1:7" ht="16.5" customHeight="1" x14ac:dyDescent="0.2">
      <c r="A131" s="40" t="s">
        <v>548</v>
      </c>
      <c r="B131" s="40">
        <v>422800000</v>
      </c>
      <c r="C131" s="42">
        <v>4644</v>
      </c>
      <c r="D131" s="40">
        <v>3870000</v>
      </c>
      <c r="F131" s="40" t="s">
        <v>419</v>
      </c>
      <c r="G131" s="2" t="str">
        <f t="shared" si="1"/>
        <v>无尽狂潮129</v>
      </c>
    </row>
    <row r="132" spans="1:7" ht="16.5" customHeight="1" x14ac:dyDescent="0.2">
      <c r="A132" s="40" t="s">
        <v>549</v>
      </c>
      <c r="B132" s="40">
        <v>426000000</v>
      </c>
      <c r="C132" s="42">
        <v>4680</v>
      </c>
      <c r="D132" s="40">
        <v>3900000</v>
      </c>
      <c r="F132" s="40" t="s">
        <v>419</v>
      </c>
      <c r="G132" s="2" t="str">
        <f t="shared" ref="G132:G195" si="2">A132</f>
        <v>无尽狂潮130</v>
      </c>
    </row>
    <row r="133" spans="1:7" ht="16.5" customHeight="1" x14ac:dyDescent="0.2">
      <c r="A133" s="40" t="s">
        <v>550</v>
      </c>
      <c r="B133" s="40">
        <v>429200000</v>
      </c>
      <c r="C133" s="42">
        <v>4716</v>
      </c>
      <c r="D133" s="40">
        <v>3930000</v>
      </c>
      <c r="F133" s="40" t="s">
        <v>419</v>
      </c>
      <c r="G133" s="2" t="str">
        <f t="shared" si="2"/>
        <v>无尽狂潮131</v>
      </c>
    </row>
    <row r="134" spans="1:7" ht="16.5" customHeight="1" x14ac:dyDescent="0.2">
      <c r="A134" s="40" t="s">
        <v>551</v>
      </c>
      <c r="B134" s="40">
        <v>432400000</v>
      </c>
      <c r="C134" s="42">
        <v>4752</v>
      </c>
      <c r="D134" s="40">
        <v>3960000</v>
      </c>
      <c r="F134" s="40" t="s">
        <v>419</v>
      </c>
      <c r="G134" s="2" t="str">
        <f t="shared" si="2"/>
        <v>无尽狂潮132</v>
      </c>
    </row>
    <row r="135" spans="1:7" ht="16.5" customHeight="1" x14ac:dyDescent="0.2">
      <c r="A135" s="40" t="s">
        <v>552</v>
      </c>
      <c r="B135" s="40">
        <v>435600000</v>
      </c>
      <c r="C135" s="42">
        <v>4788</v>
      </c>
      <c r="D135" s="40">
        <v>3990000</v>
      </c>
      <c r="F135" s="40" t="s">
        <v>419</v>
      </c>
      <c r="G135" s="2" t="str">
        <f t="shared" si="2"/>
        <v>无尽狂潮133</v>
      </c>
    </row>
    <row r="136" spans="1:7" ht="16.5" customHeight="1" x14ac:dyDescent="0.2">
      <c r="A136" s="40" t="s">
        <v>553</v>
      </c>
      <c r="B136" s="40">
        <v>438800000</v>
      </c>
      <c r="C136" s="42">
        <v>4824</v>
      </c>
      <c r="D136" s="40">
        <v>4020000</v>
      </c>
      <c r="F136" s="40" t="s">
        <v>419</v>
      </c>
      <c r="G136" s="2" t="str">
        <f t="shared" si="2"/>
        <v>无尽狂潮134</v>
      </c>
    </row>
    <row r="137" spans="1:7" ht="16.5" customHeight="1" x14ac:dyDescent="0.2">
      <c r="A137" s="40" t="s">
        <v>554</v>
      </c>
      <c r="B137" s="40">
        <v>442000000</v>
      </c>
      <c r="C137" s="42">
        <v>4860</v>
      </c>
      <c r="D137" s="40">
        <v>4050000</v>
      </c>
      <c r="F137" s="40" t="s">
        <v>419</v>
      </c>
      <c r="G137" s="2" t="str">
        <f t="shared" si="2"/>
        <v>无尽狂潮135</v>
      </c>
    </row>
    <row r="138" spans="1:7" ht="16.5" customHeight="1" x14ac:dyDescent="0.2">
      <c r="A138" s="40" t="s">
        <v>555</v>
      </c>
      <c r="B138" s="40">
        <v>445200000</v>
      </c>
      <c r="C138" s="42">
        <v>4896</v>
      </c>
      <c r="D138" s="40">
        <v>4080000</v>
      </c>
      <c r="F138" s="40" t="s">
        <v>419</v>
      </c>
      <c r="G138" s="2" t="str">
        <f t="shared" si="2"/>
        <v>无尽狂潮136</v>
      </c>
    </row>
    <row r="139" spans="1:7" ht="16.5" customHeight="1" x14ac:dyDescent="0.2">
      <c r="A139" s="40" t="s">
        <v>556</v>
      </c>
      <c r="B139" s="40">
        <v>448400000</v>
      </c>
      <c r="C139" s="42">
        <v>4932</v>
      </c>
      <c r="D139" s="40">
        <v>4110000</v>
      </c>
      <c r="F139" s="40" t="s">
        <v>419</v>
      </c>
      <c r="G139" s="2" t="str">
        <f t="shared" si="2"/>
        <v>无尽狂潮137</v>
      </c>
    </row>
    <row r="140" spans="1:7" ht="16.5" customHeight="1" x14ac:dyDescent="0.2">
      <c r="A140" s="40" t="s">
        <v>557</v>
      </c>
      <c r="B140" s="40">
        <v>451600000</v>
      </c>
      <c r="C140" s="42">
        <v>4968</v>
      </c>
      <c r="D140" s="40">
        <v>4140000</v>
      </c>
      <c r="F140" s="40" t="s">
        <v>419</v>
      </c>
      <c r="G140" s="2" t="str">
        <f t="shared" si="2"/>
        <v>无尽狂潮138</v>
      </c>
    </row>
    <row r="141" spans="1:7" ht="16.5" customHeight="1" x14ac:dyDescent="0.2">
      <c r="A141" s="40" t="s">
        <v>558</v>
      </c>
      <c r="B141" s="40">
        <v>454800000</v>
      </c>
      <c r="C141" s="42">
        <v>5004</v>
      </c>
      <c r="D141" s="40">
        <v>4170000</v>
      </c>
      <c r="F141" s="40" t="s">
        <v>419</v>
      </c>
      <c r="G141" s="2" t="str">
        <f t="shared" si="2"/>
        <v>无尽狂潮139</v>
      </c>
    </row>
    <row r="142" spans="1:7" ht="16.5" customHeight="1" x14ac:dyDescent="0.2">
      <c r="A142" s="40" t="s">
        <v>559</v>
      </c>
      <c r="B142" s="40">
        <v>458000000</v>
      </c>
      <c r="C142" s="42">
        <v>5040</v>
      </c>
      <c r="D142" s="40">
        <v>4200000</v>
      </c>
      <c r="F142" s="40" t="s">
        <v>419</v>
      </c>
      <c r="G142" s="2" t="str">
        <f t="shared" si="2"/>
        <v>无尽狂潮140</v>
      </c>
    </row>
    <row r="143" spans="1:7" ht="16.5" customHeight="1" x14ac:dyDescent="0.2">
      <c r="A143" s="40" t="s">
        <v>560</v>
      </c>
      <c r="B143" s="40">
        <v>461200000</v>
      </c>
      <c r="C143" s="42">
        <v>5076</v>
      </c>
      <c r="D143" s="40">
        <v>4230000</v>
      </c>
      <c r="F143" s="40" t="s">
        <v>419</v>
      </c>
      <c r="G143" s="2" t="str">
        <f t="shared" si="2"/>
        <v>无尽狂潮141</v>
      </c>
    </row>
    <row r="144" spans="1:7" ht="16.5" customHeight="1" x14ac:dyDescent="0.2">
      <c r="A144" s="40" t="s">
        <v>561</v>
      </c>
      <c r="B144" s="40">
        <v>464400000</v>
      </c>
      <c r="C144" s="42">
        <v>5112</v>
      </c>
      <c r="D144" s="40">
        <v>4260000</v>
      </c>
      <c r="F144" s="40" t="s">
        <v>419</v>
      </c>
      <c r="G144" s="2" t="str">
        <f t="shared" si="2"/>
        <v>无尽狂潮142</v>
      </c>
    </row>
    <row r="145" spans="1:7" ht="16.5" customHeight="1" x14ac:dyDescent="0.2">
      <c r="A145" s="40" t="s">
        <v>562</v>
      </c>
      <c r="B145" s="40">
        <v>467600000</v>
      </c>
      <c r="C145" s="42">
        <v>5148</v>
      </c>
      <c r="D145" s="40">
        <v>4290000</v>
      </c>
      <c r="F145" s="40" t="s">
        <v>419</v>
      </c>
      <c r="G145" s="2" t="str">
        <f t="shared" si="2"/>
        <v>无尽狂潮143</v>
      </c>
    </row>
    <row r="146" spans="1:7" ht="16.5" customHeight="1" x14ac:dyDescent="0.2">
      <c r="A146" s="40" t="s">
        <v>563</v>
      </c>
      <c r="B146" s="40">
        <v>470800000</v>
      </c>
      <c r="C146" s="42">
        <v>5184</v>
      </c>
      <c r="D146" s="40">
        <v>4320000</v>
      </c>
      <c r="F146" s="40" t="s">
        <v>419</v>
      </c>
      <c r="G146" s="2" t="str">
        <f t="shared" si="2"/>
        <v>无尽狂潮144</v>
      </c>
    </row>
    <row r="147" spans="1:7" ht="16.5" customHeight="1" x14ac:dyDescent="0.2">
      <c r="A147" s="40" t="s">
        <v>564</v>
      </c>
      <c r="B147" s="40">
        <v>474000000</v>
      </c>
      <c r="C147" s="42">
        <v>5220</v>
      </c>
      <c r="D147" s="40">
        <v>4350000</v>
      </c>
      <c r="F147" s="40" t="s">
        <v>419</v>
      </c>
      <c r="G147" s="2" t="str">
        <f t="shared" si="2"/>
        <v>无尽狂潮145</v>
      </c>
    </row>
    <row r="148" spans="1:7" ht="16.5" customHeight="1" x14ac:dyDescent="0.2">
      <c r="A148" s="40" t="s">
        <v>565</v>
      </c>
      <c r="B148" s="40">
        <v>477200000</v>
      </c>
      <c r="C148" s="42">
        <v>5256</v>
      </c>
      <c r="D148" s="40">
        <v>4380000</v>
      </c>
      <c r="F148" s="40" t="s">
        <v>419</v>
      </c>
      <c r="G148" s="2" t="str">
        <f t="shared" si="2"/>
        <v>无尽狂潮146</v>
      </c>
    </row>
    <row r="149" spans="1:7" ht="16.5" customHeight="1" x14ac:dyDescent="0.2">
      <c r="A149" s="40" t="s">
        <v>566</v>
      </c>
      <c r="B149" s="40">
        <v>480400000</v>
      </c>
      <c r="C149" s="42">
        <v>5292</v>
      </c>
      <c r="D149" s="40">
        <v>4410000</v>
      </c>
      <c r="F149" s="40" t="s">
        <v>419</v>
      </c>
      <c r="G149" s="2" t="str">
        <f t="shared" si="2"/>
        <v>无尽狂潮147</v>
      </c>
    </row>
    <row r="150" spans="1:7" ht="16.5" customHeight="1" x14ac:dyDescent="0.2">
      <c r="A150" s="40" t="s">
        <v>567</v>
      </c>
      <c r="B150" s="40">
        <v>483600000</v>
      </c>
      <c r="C150" s="42">
        <v>5328</v>
      </c>
      <c r="D150" s="40">
        <v>4440000</v>
      </c>
      <c r="F150" s="40" t="s">
        <v>419</v>
      </c>
      <c r="G150" s="2" t="str">
        <f t="shared" si="2"/>
        <v>无尽狂潮148</v>
      </c>
    </row>
    <row r="151" spans="1:7" ht="16.5" customHeight="1" x14ac:dyDescent="0.2">
      <c r="A151" s="40" t="s">
        <v>568</v>
      </c>
      <c r="B151" s="40">
        <v>486800000</v>
      </c>
      <c r="C151" s="42">
        <v>5364</v>
      </c>
      <c r="D151" s="40">
        <v>4470000</v>
      </c>
      <c r="F151" s="40" t="s">
        <v>419</v>
      </c>
      <c r="G151" s="2" t="str">
        <f t="shared" si="2"/>
        <v>无尽狂潮149</v>
      </c>
    </row>
    <row r="152" spans="1:7" ht="16.5" customHeight="1" x14ac:dyDescent="0.2">
      <c r="A152" s="40" t="s">
        <v>569</v>
      </c>
      <c r="B152" s="40">
        <v>490000000</v>
      </c>
      <c r="C152" s="42">
        <v>5400</v>
      </c>
      <c r="D152" s="40">
        <v>4500000</v>
      </c>
      <c r="F152" s="40" t="s">
        <v>419</v>
      </c>
      <c r="G152" s="2" t="str">
        <f t="shared" si="2"/>
        <v>无尽狂潮150</v>
      </c>
    </row>
    <row r="153" spans="1:7" ht="16.5" customHeight="1" x14ac:dyDescent="0.2">
      <c r="A153" s="40" t="s">
        <v>570</v>
      </c>
      <c r="B153" s="40">
        <v>493200000</v>
      </c>
      <c r="C153" s="42">
        <v>5436</v>
      </c>
      <c r="D153" s="40">
        <v>4530000</v>
      </c>
      <c r="F153" s="40" t="s">
        <v>419</v>
      </c>
      <c r="G153" s="2" t="str">
        <f t="shared" si="2"/>
        <v>无尽狂潮151</v>
      </c>
    </row>
    <row r="154" spans="1:7" ht="16.5" customHeight="1" x14ac:dyDescent="0.2">
      <c r="A154" s="40" t="s">
        <v>571</v>
      </c>
      <c r="B154" s="40">
        <v>496400000</v>
      </c>
      <c r="C154" s="42">
        <v>5472</v>
      </c>
      <c r="D154" s="40">
        <v>4560000</v>
      </c>
      <c r="F154" s="40" t="s">
        <v>419</v>
      </c>
      <c r="G154" s="2" t="str">
        <f t="shared" si="2"/>
        <v>无尽狂潮152</v>
      </c>
    </row>
    <row r="155" spans="1:7" ht="16.5" customHeight="1" x14ac:dyDescent="0.2">
      <c r="A155" s="40" t="s">
        <v>572</v>
      </c>
      <c r="B155" s="40">
        <v>499600000</v>
      </c>
      <c r="C155" s="42">
        <v>5508</v>
      </c>
      <c r="D155" s="40">
        <v>4590000</v>
      </c>
      <c r="F155" s="40" t="s">
        <v>419</v>
      </c>
      <c r="G155" s="2" t="str">
        <f t="shared" si="2"/>
        <v>无尽狂潮153</v>
      </c>
    </row>
    <row r="156" spans="1:7" ht="16.5" customHeight="1" x14ac:dyDescent="0.2">
      <c r="A156" s="40" t="s">
        <v>573</v>
      </c>
      <c r="B156" s="40">
        <v>502800000</v>
      </c>
      <c r="C156" s="42">
        <v>5544</v>
      </c>
      <c r="D156" s="40">
        <v>4620000</v>
      </c>
      <c r="F156" s="40" t="s">
        <v>419</v>
      </c>
      <c r="G156" s="2" t="str">
        <f t="shared" si="2"/>
        <v>无尽狂潮154</v>
      </c>
    </row>
    <row r="157" spans="1:7" ht="16.5" customHeight="1" x14ac:dyDescent="0.2">
      <c r="A157" s="40" t="s">
        <v>574</v>
      </c>
      <c r="B157" s="40">
        <v>506000000</v>
      </c>
      <c r="C157" s="42">
        <v>5580</v>
      </c>
      <c r="D157" s="40">
        <v>4650000</v>
      </c>
      <c r="F157" s="40" t="s">
        <v>419</v>
      </c>
      <c r="G157" s="2" t="str">
        <f t="shared" si="2"/>
        <v>无尽狂潮155</v>
      </c>
    </row>
    <row r="158" spans="1:7" ht="16.5" customHeight="1" x14ac:dyDescent="0.2">
      <c r="A158" s="40" t="s">
        <v>575</v>
      </c>
      <c r="B158" s="40">
        <v>509200000</v>
      </c>
      <c r="C158" s="42">
        <v>5616</v>
      </c>
      <c r="D158" s="40">
        <v>4680000</v>
      </c>
      <c r="F158" s="40" t="s">
        <v>419</v>
      </c>
      <c r="G158" s="2" t="str">
        <f t="shared" si="2"/>
        <v>无尽狂潮156</v>
      </c>
    </row>
    <row r="159" spans="1:7" ht="16.5" customHeight="1" x14ac:dyDescent="0.2">
      <c r="A159" s="40" t="s">
        <v>576</v>
      </c>
      <c r="B159" s="40">
        <v>512400000</v>
      </c>
      <c r="C159" s="42">
        <v>5652</v>
      </c>
      <c r="D159" s="40">
        <v>4710000</v>
      </c>
      <c r="F159" s="40" t="s">
        <v>419</v>
      </c>
      <c r="G159" s="2" t="str">
        <f t="shared" si="2"/>
        <v>无尽狂潮157</v>
      </c>
    </row>
    <row r="160" spans="1:7" ht="16.5" customHeight="1" x14ac:dyDescent="0.2">
      <c r="A160" s="40" t="s">
        <v>577</v>
      </c>
      <c r="B160" s="40">
        <v>515600000</v>
      </c>
      <c r="C160" s="42">
        <v>5688</v>
      </c>
      <c r="D160" s="40">
        <v>4740000</v>
      </c>
      <c r="F160" s="40" t="s">
        <v>419</v>
      </c>
      <c r="G160" s="2" t="str">
        <f t="shared" si="2"/>
        <v>无尽狂潮158</v>
      </c>
    </row>
    <row r="161" spans="1:7" ht="16.5" customHeight="1" x14ac:dyDescent="0.2">
      <c r="A161" s="40" t="s">
        <v>578</v>
      </c>
      <c r="B161" s="40">
        <v>518800000</v>
      </c>
      <c r="C161" s="42">
        <v>5724</v>
      </c>
      <c r="D161" s="40">
        <v>4770000</v>
      </c>
      <c r="F161" s="40" t="s">
        <v>419</v>
      </c>
      <c r="G161" s="2" t="str">
        <f t="shared" si="2"/>
        <v>无尽狂潮159</v>
      </c>
    </row>
    <row r="162" spans="1:7" ht="16.5" customHeight="1" x14ac:dyDescent="0.2">
      <c r="A162" s="40" t="s">
        <v>579</v>
      </c>
      <c r="B162" s="40">
        <v>522000000</v>
      </c>
      <c r="C162" s="42">
        <v>5760</v>
      </c>
      <c r="D162" s="40">
        <v>4800000</v>
      </c>
      <c r="F162" s="40" t="s">
        <v>419</v>
      </c>
      <c r="G162" s="2" t="str">
        <f t="shared" si="2"/>
        <v>无尽狂潮160</v>
      </c>
    </row>
    <row r="163" spans="1:7" ht="16.5" customHeight="1" x14ac:dyDescent="0.2">
      <c r="A163" s="40" t="s">
        <v>580</v>
      </c>
      <c r="B163" s="40">
        <v>525200000</v>
      </c>
      <c r="C163" s="42">
        <v>5796</v>
      </c>
      <c r="D163" s="40">
        <v>4830000</v>
      </c>
      <c r="F163" s="40" t="s">
        <v>419</v>
      </c>
      <c r="G163" s="2" t="str">
        <f t="shared" si="2"/>
        <v>无尽狂潮161</v>
      </c>
    </row>
    <row r="164" spans="1:7" ht="16.5" customHeight="1" x14ac:dyDescent="0.2">
      <c r="A164" s="40" t="s">
        <v>581</v>
      </c>
      <c r="B164" s="40">
        <v>528400000</v>
      </c>
      <c r="C164" s="42">
        <v>5832</v>
      </c>
      <c r="D164" s="40">
        <v>4860000</v>
      </c>
      <c r="F164" s="40" t="s">
        <v>419</v>
      </c>
      <c r="G164" s="2" t="str">
        <f t="shared" si="2"/>
        <v>无尽狂潮162</v>
      </c>
    </row>
    <row r="165" spans="1:7" ht="16.5" customHeight="1" x14ac:dyDescent="0.2">
      <c r="A165" s="40" t="s">
        <v>582</v>
      </c>
      <c r="B165" s="40">
        <v>531600000</v>
      </c>
      <c r="C165" s="42">
        <v>5868</v>
      </c>
      <c r="D165" s="40">
        <v>4890000</v>
      </c>
      <c r="F165" s="40" t="s">
        <v>419</v>
      </c>
      <c r="G165" s="2" t="str">
        <f t="shared" si="2"/>
        <v>无尽狂潮163</v>
      </c>
    </row>
    <row r="166" spans="1:7" ht="16.5" customHeight="1" x14ac:dyDescent="0.2">
      <c r="A166" s="40" t="s">
        <v>583</v>
      </c>
      <c r="B166" s="40">
        <v>534800000</v>
      </c>
      <c r="C166" s="42">
        <v>5904</v>
      </c>
      <c r="D166" s="40">
        <v>4920000</v>
      </c>
      <c r="F166" s="40" t="s">
        <v>419</v>
      </c>
      <c r="G166" s="2" t="str">
        <f t="shared" si="2"/>
        <v>无尽狂潮164</v>
      </c>
    </row>
    <row r="167" spans="1:7" ht="16.5" customHeight="1" x14ac:dyDescent="0.2">
      <c r="A167" s="40" t="s">
        <v>584</v>
      </c>
      <c r="B167" s="40">
        <v>538000000</v>
      </c>
      <c r="C167" s="42">
        <v>5940</v>
      </c>
      <c r="D167" s="40">
        <v>4950000</v>
      </c>
      <c r="F167" s="40" t="s">
        <v>419</v>
      </c>
      <c r="G167" s="2" t="str">
        <f t="shared" si="2"/>
        <v>无尽狂潮165</v>
      </c>
    </row>
    <row r="168" spans="1:7" ht="16.5" customHeight="1" x14ac:dyDescent="0.2">
      <c r="A168" s="40" t="s">
        <v>585</v>
      </c>
      <c r="B168" s="40">
        <v>541200000</v>
      </c>
      <c r="C168" s="42">
        <v>5976</v>
      </c>
      <c r="D168" s="40">
        <v>4980000</v>
      </c>
      <c r="F168" s="40" t="s">
        <v>419</v>
      </c>
      <c r="G168" s="2" t="str">
        <f t="shared" si="2"/>
        <v>无尽狂潮166</v>
      </c>
    </row>
    <row r="169" spans="1:7" ht="16.5" customHeight="1" x14ac:dyDescent="0.2">
      <c r="A169" s="40" t="s">
        <v>586</v>
      </c>
      <c r="B169" s="40">
        <v>544400000</v>
      </c>
      <c r="C169" s="42">
        <v>6012</v>
      </c>
      <c r="D169" s="40">
        <v>5010000</v>
      </c>
      <c r="F169" s="40" t="s">
        <v>419</v>
      </c>
      <c r="G169" s="2" t="str">
        <f t="shared" si="2"/>
        <v>无尽狂潮167</v>
      </c>
    </row>
    <row r="170" spans="1:7" ht="16.5" customHeight="1" x14ac:dyDescent="0.2">
      <c r="A170" s="40" t="s">
        <v>587</v>
      </c>
      <c r="B170" s="40">
        <v>547600000</v>
      </c>
      <c r="C170" s="42">
        <v>6048</v>
      </c>
      <c r="D170" s="40">
        <v>5040000</v>
      </c>
      <c r="F170" s="40" t="s">
        <v>419</v>
      </c>
      <c r="G170" s="2" t="str">
        <f t="shared" si="2"/>
        <v>无尽狂潮168</v>
      </c>
    </row>
    <row r="171" spans="1:7" ht="16.5" customHeight="1" x14ac:dyDescent="0.2">
      <c r="A171" s="40" t="s">
        <v>588</v>
      </c>
      <c r="B171" s="40">
        <v>550800000</v>
      </c>
      <c r="C171" s="42">
        <v>6084</v>
      </c>
      <c r="D171" s="40">
        <v>5070000</v>
      </c>
      <c r="F171" s="40" t="s">
        <v>419</v>
      </c>
      <c r="G171" s="2" t="str">
        <f t="shared" si="2"/>
        <v>无尽狂潮169</v>
      </c>
    </row>
    <row r="172" spans="1:7" ht="16.5" customHeight="1" x14ac:dyDescent="0.2">
      <c r="A172" s="40" t="s">
        <v>589</v>
      </c>
      <c r="B172" s="40">
        <v>554000000</v>
      </c>
      <c r="C172" s="42">
        <v>6120</v>
      </c>
      <c r="D172" s="40">
        <v>5100000</v>
      </c>
      <c r="F172" s="40" t="s">
        <v>419</v>
      </c>
      <c r="G172" s="2" t="str">
        <f t="shared" si="2"/>
        <v>无尽狂潮170</v>
      </c>
    </row>
    <row r="173" spans="1:7" ht="16.5" customHeight="1" x14ac:dyDescent="0.2">
      <c r="A173" s="40" t="s">
        <v>590</v>
      </c>
      <c r="B173" s="40">
        <v>557200000</v>
      </c>
      <c r="C173" s="42">
        <v>6156</v>
      </c>
      <c r="D173" s="40">
        <v>5130000</v>
      </c>
      <c r="F173" s="40" t="s">
        <v>419</v>
      </c>
      <c r="G173" s="2" t="str">
        <f t="shared" si="2"/>
        <v>无尽狂潮171</v>
      </c>
    </row>
    <row r="174" spans="1:7" ht="16.5" customHeight="1" x14ac:dyDescent="0.2">
      <c r="A174" s="40" t="s">
        <v>591</v>
      </c>
      <c r="B174" s="40">
        <v>560400000</v>
      </c>
      <c r="C174" s="42">
        <v>6192</v>
      </c>
      <c r="D174" s="40">
        <v>5160000</v>
      </c>
      <c r="F174" s="40" t="s">
        <v>419</v>
      </c>
      <c r="G174" s="2" t="str">
        <f t="shared" si="2"/>
        <v>无尽狂潮172</v>
      </c>
    </row>
    <row r="175" spans="1:7" ht="16.5" customHeight="1" x14ac:dyDescent="0.2">
      <c r="A175" s="40" t="s">
        <v>592</v>
      </c>
      <c r="B175" s="40">
        <v>563600000</v>
      </c>
      <c r="C175" s="42">
        <v>6228</v>
      </c>
      <c r="D175" s="40">
        <v>5190000</v>
      </c>
      <c r="F175" s="40" t="s">
        <v>419</v>
      </c>
      <c r="G175" s="2" t="str">
        <f t="shared" si="2"/>
        <v>无尽狂潮173</v>
      </c>
    </row>
    <row r="176" spans="1:7" ht="16.5" customHeight="1" x14ac:dyDescent="0.2">
      <c r="A176" s="40" t="s">
        <v>593</v>
      </c>
      <c r="B176" s="40">
        <v>566800000</v>
      </c>
      <c r="C176" s="42">
        <v>6264</v>
      </c>
      <c r="D176" s="40">
        <v>5220000</v>
      </c>
      <c r="F176" s="40" t="s">
        <v>419</v>
      </c>
      <c r="G176" s="2" t="str">
        <f t="shared" si="2"/>
        <v>无尽狂潮174</v>
      </c>
    </row>
    <row r="177" spans="1:7" ht="16.5" customHeight="1" x14ac:dyDescent="0.2">
      <c r="A177" s="40" t="s">
        <v>594</v>
      </c>
      <c r="B177" s="40">
        <v>570000000</v>
      </c>
      <c r="C177" s="42">
        <v>6300</v>
      </c>
      <c r="D177" s="40">
        <v>5250000</v>
      </c>
      <c r="F177" s="40" t="s">
        <v>419</v>
      </c>
      <c r="G177" s="2" t="str">
        <f t="shared" si="2"/>
        <v>无尽狂潮175</v>
      </c>
    </row>
    <row r="178" spans="1:7" ht="16.5" customHeight="1" x14ac:dyDescent="0.2">
      <c r="A178" s="40" t="s">
        <v>595</v>
      </c>
      <c r="B178" s="40">
        <v>573200000</v>
      </c>
      <c r="C178" s="42">
        <v>6336</v>
      </c>
      <c r="D178" s="40">
        <v>5280000</v>
      </c>
      <c r="F178" s="40" t="s">
        <v>419</v>
      </c>
      <c r="G178" s="2" t="str">
        <f t="shared" si="2"/>
        <v>无尽狂潮176</v>
      </c>
    </row>
    <row r="179" spans="1:7" ht="16.5" customHeight="1" x14ac:dyDescent="0.2">
      <c r="A179" s="40" t="s">
        <v>596</v>
      </c>
      <c r="B179" s="40">
        <v>576400000</v>
      </c>
      <c r="C179" s="42">
        <v>6372</v>
      </c>
      <c r="D179" s="40">
        <v>5310000</v>
      </c>
      <c r="F179" s="40" t="s">
        <v>419</v>
      </c>
      <c r="G179" s="2" t="str">
        <f t="shared" si="2"/>
        <v>无尽狂潮177</v>
      </c>
    </row>
    <row r="180" spans="1:7" ht="16.5" customHeight="1" x14ac:dyDescent="0.2">
      <c r="A180" s="40" t="s">
        <v>597</v>
      </c>
      <c r="B180" s="40">
        <v>579600000</v>
      </c>
      <c r="C180" s="42">
        <v>6408</v>
      </c>
      <c r="D180" s="40">
        <v>5340000</v>
      </c>
      <c r="F180" s="40" t="s">
        <v>419</v>
      </c>
      <c r="G180" s="2" t="str">
        <f t="shared" si="2"/>
        <v>无尽狂潮178</v>
      </c>
    </row>
    <row r="181" spans="1:7" ht="16.5" customHeight="1" x14ac:dyDescent="0.2">
      <c r="A181" s="40" t="s">
        <v>598</v>
      </c>
      <c r="B181" s="40">
        <v>582800000</v>
      </c>
      <c r="C181" s="42">
        <v>6444</v>
      </c>
      <c r="D181" s="40">
        <v>5370000</v>
      </c>
      <c r="F181" s="40" t="s">
        <v>419</v>
      </c>
      <c r="G181" s="2" t="str">
        <f t="shared" si="2"/>
        <v>无尽狂潮179</v>
      </c>
    </row>
    <row r="182" spans="1:7" ht="16.5" customHeight="1" x14ac:dyDescent="0.2">
      <c r="A182" s="40" t="s">
        <v>599</v>
      </c>
      <c r="B182" s="40">
        <v>586000000</v>
      </c>
      <c r="C182" s="42">
        <v>6480</v>
      </c>
      <c r="D182" s="40">
        <v>5400000</v>
      </c>
      <c r="F182" s="40" t="s">
        <v>419</v>
      </c>
      <c r="G182" s="2" t="str">
        <f t="shared" si="2"/>
        <v>无尽狂潮180</v>
      </c>
    </row>
    <row r="183" spans="1:7" ht="16.5" customHeight="1" x14ac:dyDescent="0.2">
      <c r="A183" s="40" t="s">
        <v>600</v>
      </c>
      <c r="B183" s="40">
        <v>589200000</v>
      </c>
      <c r="C183" s="42">
        <v>6516</v>
      </c>
      <c r="D183" s="40">
        <v>5430000</v>
      </c>
      <c r="F183" s="40" t="s">
        <v>419</v>
      </c>
      <c r="G183" s="2" t="str">
        <f t="shared" si="2"/>
        <v>无尽狂潮181</v>
      </c>
    </row>
    <row r="184" spans="1:7" ht="16.5" customHeight="1" x14ac:dyDescent="0.2">
      <c r="A184" s="40" t="s">
        <v>601</v>
      </c>
      <c r="B184" s="40">
        <v>592400000</v>
      </c>
      <c r="C184" s="42">
        <v>6552</v>
      </c>
      <c r="D184" s="40">
        <v>5460000</v>
      </c>
      <c r="F184" s="40" t="s">
        <v>419</v>
      </c>
      <c r="G184" s="2" t="str">
        <f t="shared" si="2"/>
        <v>无尽狂潮182</v>
      </c>
    </row>
    <row r="185" spans="1:7" ht="16.5" customHeight="1" x14ac:dyDescent="0.2">
      <c r="A185" s="40" t="s">
        <v>602</v>
      </c>
      <c r="B185" s="40">
        <v>595600000</v>
      </c>
      <c r="C185" s="42">
        <v>6588</v>
      </c>
      <c r="D185" s="40">
        <v>5490000</v>
      </c>
      <c r="F185" s="40" t="s">
        <v>419</v>
      </c>
      <c r="G185" s="2" t="str">
        <f t="shared" si="2"/>
        <v>无尽狂潮183</v>
      </c>
    </row>
    <row r="186" spans="1:7" ht="16.5" customHeight="1" x14ac:dyDescent="0.2">
      <c r="A186" s="40" t="s">
        <v>603</v>
      </c>
      <c r="B186" s="40">
        <v>598800000</v>
      </c>
      <c r="C186" s="42">
        <v>6624</v>
      </c>
      <c r="D186" s="40">
        <v>5520000</v>
      </c>
      <c r="F186" s="40" t="s">
        <v>419</v>
      </c>
      <c r="G186" s="2" t="str">
        <f t="shared" si="2"/>
        <v>无尽狂潮184</v>
      </c>
    </row>
    <row r="187" spans="1:7" ht="16.5" customHeight="1" x14ac:dyDescent="0.2">
      <c r="A187" s="40" t="s">
        <v>604</v>
      </c>
      <c r="B187" s="40">
        <v>602000000</v>
      </c>
      <c r="C187" s="42">
        <v>6660</v>
      </c>
      <c r="D187" s="40">
        <v>5550000</v>
      </c>
      <c r="F187" s="40" t="s">
        <v>419</v>
      </c>
      <c r="G187" s="2" t="str">
        <f t="shared" si="2"/>
        <v>无尽狂潮185</v>
      </c>
    </row>
    <row r="188" spans="1:7" ht="16.5" customHeight="1" x14ac:dyDescent="0.2">
      <c r="A188" s="40" t="s">
        <v>605</v>
      </c>
      <c r="B188" s="40">
        <v>605200000</v>
      </c>
      <c r="C188" s="42">
        <v>6696</v>
      </c>
      <c r="D188" s="40">
        <v>5580000</v>
      </c>
      <c r="F188" s="40" t="s">
        <v>419</v>
      </c>
      <c r="G188" s="2" t="str">
        <f t="shared" si="2"/>
        <v>无尽狂潮186</v>
      </c>
    </row>
    <row r="189" spans="1:7" ht="16.5" customHeight="1" x14ac:dyDescent="0.2">
      <c r="A189" s="40" t="s">
        <v>606</v>
      </c>
      <c r="B189" s="40">
        <v>608400000</v>
      </c>
      <c r="C189" s="42">
        <v>6732</v>
      </c>
      <c r="D189" s="40">
        <v>5610000</v>
      </c>
      <c r="F189" s="40" t="s">
        <v>419</v>
      </c>
      <c r="G189" s="2" t="str">
        <f t="shared" si="2"/>
        <v>无尽狂潮187</v>
      </c>
    </row>
    <row r="190" spans="1:7" ht="16.5" customHeight="1" x14ac:dyDescent="0.2">
      <c r="A190" s="40" t="s">
        <v>607</v>
      </c>
      <c r="B190" s="40">
        <v>611600000</v>
      </c>
      <c r="C190" s="42">
        <v>6768</v>
      </c>
      <c r="D190" s="40">
        <v>5640000</v>
      </c>
      <c r="F190" s="40" t="s">
        <v>419</v>
      </c>
      <c r="G190" s="2" t="str">
        <f t="shared" si="2"/>
        <v>无尽狂潮188</v>
      </c>
    </row>
    <row r="191" spans="1:7" ht="16.5" customHeight="1" x14ac:dyDescent="0.2">
      <c r="A191" s="40" t="s">
        <v>608</v>
      </c>
      <c r="B191" s="40">
        <v>614800000</v>
      </c>
      <c r="C191" s="42">
        <v>6804</v>
      </c>
      <c r="D191" s="40">
        <v>5670000</v>
      </c>
      <c r="F191" s="40" t="s">
        <v>419</v>
      </c>
      <c r="G191" s="2" t="str">
        <f t="shared" si="2"/>
        <v>无尽狂潮189</v>
      </c>
    </row>
    <row r="192" spans="1:7" ht="16.5" customHeight="1" x14ac:dyDescent="0.2">
      <c r="A192" s="40" t="s">
        <v>609</v>
      </c>
      <c r="B192" s="40">
        <v>618000000</v>
      </c>
      <c r="C192" s="42">
        <v>6840</v>
      </c>
      <c r="D192" s="40">
        <v>5700000</v>
      </c>
      <c r="F192" s="40" t="s">
        <v>419</v>
      </c>
      <c r="G192" s="2" t="str">
        <f t="shared" si="2"/>
        <v>无尽狂潮190</v>
      </c>
    </row>
    <row r="193" spans="1:7" ht="16.5" customHeight="1" x14ac:dyDescent="0.2">
      <c r="A193" s="40" t="s">
        <v>610</v>
      </c>
      <c r="B193" s="40">
        <v>621200000</v>
      </c>
      <c r="C193" s="42">
        <v>6876</v>
      </c>
      <c r="D193" s="40">
        <v>5730000</v>
      </c>
      <c r="F193" s="40" t="s">
        <v>419</v>
      </c>
      <c r="G193" s="2" t="str">
        <f t="shared" si="2"/>
        <v>无尽狂潮191</v>
      </c>
    </row>
    <row r="194" spans="1:7" ht="16.5" customHeight="1" x14ac:dyDescent="0.2">
      <c r="A194" s="40" t="s">
        <v>611</v>
      </c>
      <c r="B194" s="40">
        <v>624400000</v>
      </c>
      <c r="C194" s="42">
        <v>6912</v>
      </c>
      <c r="D194" s="40">
        <v>5760000</v>
      </c>
      <c r="F194" s="40" t="s">
        <v>419</v>
      </c>
      <c r="G194" s="2" t="str">
        <f t="shared" si="2"/>
        <v>无尽狂潮192</v>
      </c>
    </row>
    <row r="195" spans="1:7" ht="16.5" customHeight="1" x14ac:dyDescent="0.2">
      <c r="A195" s="40" t="s">
        <v>612</v>
      </c>
      <c r="B195" s="40">
        <v>627600000</v>
      </c>
      <c r="C195" s="42">
        <v>6948</v>
      </c>
      <c r="D195" s="40">
        <v>5790000</v>
      </c>
      <c r="F195" s="40" t="s">
        <v>419</v>
      </c>
      <c r="G195" s="2" t="str">
        <f t="shared" si="2"/>
        <v>无尽狂潮193</v>
      </c>
    </row>
    <row r="196" spans="1:7" ht="16.5" customHeight="1" x14ac:dyDescent="0.2">
      <c r="A196" s="40" t="s">
        <v>613</v>
      </c>
      <c r="B196" s="40">
        <v>630800000</v>
      </c>
      <c r="C196" s="42">
        <v>6984</v>
      </c>
      <c r="D196" s="40">
        <v>5820000</v>
      </c>
      <c r="F196" s="40" t="s">
        <v>419</v>
      </c>
      <c r="G196" s="2" t="str">
        <f t="shared" ref="G196:G202" si="3">A196</f>
        <v>无尽狂潮194</v>
      </c>
    </row>
    <row r="197" spans="1:7" ht="16.5" customHeight="1" x14ac:dyDescent="0.2">
      <c r="A197" s="40" t="s">
        <v>614</v>
      </c>
      <c r="B197" s="40">
        <v>634000000</v>
      </c>
      <c r="C197" s="42">
        <v>7020</v>
      </c>
      <c r="D197" s="40">
        <v>5850000</v>
      </c>
      <c r="F197" s="40" t="s">
        <v>419</v>
      </c>
      <c r="G197" s="2" t="str">
        <f t="shared" si="3"/>
        <v>无尽狂潮195</v>
      </c>
    </row>
    <row r="198" spans="1:7" ht="16.5" customHeight="1" x14ac:dyDescent="0.2">
      <c r="A198" s="40" t="s">
        <v>615</v>
      </c>
      <c r="B198" s="40">
        <v>637200000</v>
      </c>
      <c r="C198" s="42">
        <v>7056</v>
      </c>
      <c r="D198" s="40">
        <v>5880000</v>
      </c>
      <c r="F198" s="40" t="s">
        <v>419</v>
      </c>
      <c r="G198" s="2" t="str">
        <f t="shared" si="3"/>
        <v>无尽狂潮196</v>
      </c>
    </row>
    <row r="199" spans="1:7" ht="16.5" customHeight="1" x14ac:dyDescent="0.2">
      <c r="A199" s="40" t="s">
        <v>616</v>
      </c>
      <c r="B199" s="40">
        <v>640400000</v>
      </c>
      <c r="C199" s="42">
        <v>7092</v>
      </c>
      <c r="D199" s="40">
        <v>5910000</v>
      </c>
      <c r="F199" s="40" t="s">
        <v>419</v>
      </c>
      <c r="G199" s="2" t="str">
        <f t="shared" si="3"/>
        <v>无尽狂潮197</v>
      </c>
    </row>
    <row r="200" spans="1:7" ht="16.5" customHeight="1" x14ac:dyDescent="0.2">
      <c r="A200" s="40" t="s">
        <v>617</v>
      </c>
      <c r="B200" s="40">
        <v>643600000</v>
      </c>
      <c r="C200" s="42">
        <v>7128</v>
      </c>
      <c r="D200" s="40">
        <v>5940000</v>
      </c>
      <c r="F200" s="40" t="s">
        <v>419</v>
      </c>
      <c r="G200" s="2" t="str">
        <f t="shared" si="3"/>
        <v>无尽狂潮198</v>
      </c>
    </row>
    <row r="201" spans="1:7" ht="16.5" customHeight="1" x14ac:dyDescent="0.2">
      <c r="A201" s="40" t="s">
        <v>618</v>
      </c>
      <c r="B201" s="40">
        <v>646800000</v>
      </c>
      <c r="C201" s="42">
        <v>7164</v>
      </c>
      <c r="D201" s="40">
        <v>5970000</v>
      </c>
      <c r="F201" s="40" t="s">
        <v>419</v>
      </c>
      <c r="G201" s="2" t="str">
        <f t="shared" si="3"/>
        <v>无尽狂潮199</v>
      </c>
    </row>
    <row r="202" spans="1:7" ht="16.5" customHeight="1" x14ac:dyDescent="0.2">
      <c r="A202" s="40" t="s">
        <v>619</v>
      </c>
      <c r="B202" s="40">
        <v>650000000</v>
      </c>
      <c r="C202" s="42">
        <v>7200</v>
      </c>
      <c r="D202" s="40">
        <v>6000000</v>
      </c>
      <c r="F202" s="40" t="s">
        <v>419</v>
      </c>
      <c r="G202" s="2" t="str">
        <f t="shared" si="3"/>
        <v>无尽狂潮200</v>
      </c>
    </row>
  </sheetData>
  <phoneticPr fontId="1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3"/>
  <dimension ref="A1:BB84"/>
  <sheetViews>
    <sheetView workbookViewId="0">
      <pane xSplit="1" ySplit="2" topLeftCell="B3" activePane="bottomRight" state="frozen"/>
      <selection pane="topRight"/>
      <selection pane="bottomLeft"/>
      <selection pane="bottomRight" activeCell="BA1" sqref="BA1:BB5"/>
    </sheetView>
  </sheetViews>
  <sheetFormatPr defaultColWidth="16.625" defaultRowHeight="18" customHeight="1" x14ac:dyDescent="0.2"/>
  <cols>
    <col min="1" max="4" width="16.625" style="11"/>
    <col min="5" max="6" width="16.625" style="11" customWidth="1"/>
    <col min="7" max="11" width="16.625" style="12" customWidth="1"/>
    <col min="12" max="12" width="16.625" style="12"/>
    <col min="13" max="13" width="16.625" style="12" customWidth="1"/>
    <col min="14" max="15" width="16.625" style="12"/>
    <col min="16" max="17" width="16.625" style="11"/>
    <col min="18" max="24" width="16.625" style="12"/>
    <col min="25" max="36" width="16.625" style="11"/>
    <col min="37" max="41" width="16.625" style="13"/>
    <col min="42" max="43" width="16.625" style="11"/>
    <col min="44" max="44" width="16.625" style="2"/>
    <col min="45" max="45" width="30.75" style="2" customWidth="1"/>
    <col min="46" max="46" width="16.625" style="11"/>
    <col min="47" max="47" width="21.75" style="14" customWidth="1"/>
    <col min="48" max="48" width="15.125" style="11" customWidth="1"/>
    <col min="49" max="49" width="47" style="11" customWidth="1"/>
    <col min="50" max="50" width="44.125" style="13" customWidth="1"/>
    <col min="53" max="16384" width="16.625" style="11"/>
  </cols>
  <sheetData>
    <row r="1" spans="1:54" s="10" customFormat="1" ht="18" customHeight="1" x14ac:dyDescent="0.2">
      <c r="A1" s="10" t="s">
        <v>64</v>
      </c>
      <c r="B1" s="10" t="s">
        <v>50</v>
      </c>
      <c r="C1" s="10" t="s">
        <v>16</v>
      </c>
      <c r="D1" s="10" t="s">
        <v>51</v>
      </c>
      <c r="E1" s="10" t="s">
        <v>65</v>
      </c>
      <c r="F1" s="10" t="s">
        <v>66</v>
      </c>
      <c r="G1" s="15" t="s">
        <v>41</v>
      </c>
      <c r="H1" s="15" t="s">
        <v>37</v>
      </c>
      <c r="I1" s="15" t="s">
        <v>39</v>
      </c>
      <c r="J1" s="15" t="s">
        <v>42</v>
      </c>
      <c r="K1" s="15" t="s">
        <v>38</v>
      </c>
      <c r="L1" s="15" t="s">
        <v>40</v>
      </c>
      <c r="M1" s="15" t="s">
        <v>67</v>
      </c>
      <c r="N1" s="17" t="s">
        <v>43</v>
      </c>
      <c r="O1" s="17" t="s">
        <v>46</v>
      </c>
      <c r="P1" s="10" t="s">
        <v>45</v>
      </c>
      <c r="Q1" s="10" t="s">
        <v>48</v>
      </c>
      <c r="R1" s="15" t="s">
        <v>44</v>
      </c>
      <c r="S1" s="15" t="s">
        <v>49</v>
      </c>
      <c r="T1" s="15" t="s">
        <v>68</v>
      </c>
      <c r="U1" s="15" t="s">
        <v>47</v>
      </c>
      <c r="V1" s="15" t="s">
        <v>17</v>
      </c>
      <c r="W1" s="15" t="s">
        <v>18</v>
      </c>
      <c r="X1" s="15" t="s">
        <v>19</v>
      </c>
      <c r="Y1" s="10" t="s">
        <v>20</v>
      </c>
      <c r="Z1" s="10" t="s">
        <v>21</v>
      </c>
      <c r="AA1" s="10" t="s">
        <v>22</v>
      </c>
      <c r="AB1" s="10" t="s">
        <v>23</v>
      </c>
      <c r="AC1" s="10" t="s">
        <v>24</v>
      </c>
      <c r="AD1" s="19" t="s">
        <v>26</v>
      </c>
      <c r="AE1" s="19" t="s">
        <v>25</v>
      </c>
      <c r="AF1" s="19" t="s">
        <v>27</v>
      </c>
      <c r="AG1" s="10" t="s">
        <v>69</v>
      </c>
      <c r="AH1" s="10" t="s">
        <v>28</v>
      </c>
      <c r="AI1" s="10" t="s">
        <v>30</v>
      </c>
      <c r="AJ1" s="10" t="s">
        <v>29</v>
      </c>
      <c r="AK1" s="20" t="s">
        <v>31</v>
      </c>
      <c r="AL1" s="20" t="s">
        <v>32</v>
      </c>
      <c r="AM1" s="20" t="s">
        <v>33</v>
      </c>
      <c r="AN1" s="20" t="s">
        <v>35</v>
      </c>
      <c r="AO1" s="20" t="s">
        <v>34</v>
      </c>
      <c r="AP1" s="10" t="s">
        <v>36</v>
      </c>
      <c r="AQ1" s="4" t="s">
        <v>52</v>
      </c>
      <c r="AR1" s="4" t="s">
        <v>56</v>
      </c>
      <c r="AS1" s="4" t="s">
        <v>57</v>
      </c>
      <c r="AT1" s="4" t="s">
        <v>58</v>
      </c>
      <c r="AU1" s="21" t="s">
        <v>59</v>
      </c>
      <c r="AV1" s="4" t="s">
        <v>60</v>
      </c>
      <c r="AW1" s="4" t="s">
        <v>61</v>
      </c>
      <c r="AX1" s="4" t="s">
        <v>62</v>
      </c>
      <c r="AY1" s="34" t="s">
        <v>374</v>
      </c>
      <c r="BA1" s="10" t="s">
        <v>53</v>
      </c>
      <c r="BB1" s="10" t="s">
        <v>54</v>
      </c>
    </row>
    <row r="2" spans="1:54" s="10" customFormat="1" ht="18" customHeight="1" x14ac:dyDescent="0.2">
      <c r="A2" s="10" t="s">
        <v>14</v>
      </c>
      <c r="B2" s="10" t="s">
        <v>15</v>
      </c>
      <c r="C2" s="10" t="s">
        <v>15</v>
      </c>
      <c r="D2" s="10" t="s">
        <v>15</v>
      </c>
      <c r="E2" s="10" t="s">
        <v>15</v>
      </c>
      <c r="F2" s="10" t="s">
        <v>15</v>
      </c>
      <c r="G2" s="15" t="s">
        <v>15</v>
      </c>
      <c r="H2" s="15" t="s">
        <v>15</v>
      </c>
      <c r="I2" s="15" t="s">
        <v>15</v>
      </c>
      <c r="J2" s="15" t="s">
        <v>15</v>
      </c>
      <c r="K2" s="15" t="s">
        <v>15</v>
      </c>
      <c r="L2" s="15" t="s">
        <v>15</v>
      </c>
      <c r="M2" s="15" t="s">
        <v>15</v>
      </c>
      <c r="N2" s="15" t="s">
        <v>15</v>
      </c>
      <c r="O2" s="15" t="s">
        <v>15</v>
      </c>
      <c r="P2" s="10" t="s">
        <v>15</v>
      </c>
      <c r="Q2" s="10" t="s">
        <v>15</v>
      </c>
      <c r="R2" s="15" t="s">
        <v>15</v>
      </c>
      <c r="S2" s="15" t="s">
        <v>15</v>
      </c>
      <c r="T2" s="15" t="s">
        <v>15</v>
      </c>
      <c r="U2" s="15" t="s">
        <v>15</v>
      </c>
      <c r="V2" s="15" t="s">
        <v>15</v>
      </c>
      <c r="W2" s="15" t="s">
        <v>15</v>
      </c>
      <c r="X2" s="15" t="s">
        <v>15</v>
      </c>
      <c r="Y2" s="10" t="s">
        <v>15</v>
      </c>
      <c r="Z2" s="10" t="s">
        <v>15</v>
      </c>
      <c r="AA2" s="10" t="s">
        <v>15</v>
      </c>
      <c r="AB2" s="10" t="s">
        <v>15</v>
      </c>
      <c r="AC2" s="10" t="s">
        <v>15</v>
      </c>
      <c r="AD2" s="10" t="s">
        <v>15</v>
      </c>
      <c r="AE2" s="10" t="s">
        <v>15</v>
      </c>
      <c r="AF2" s="10" t="s">
        <v>15</v>
      </c>
      <c r="AG2" s="10" t="s">
        <v>15</v>
      </c>
      <c r="AH2" s="10" t="s">
        <v>15</v>
      </c>
      <c r="AI2" s="10" t="s">
        <v>15</v>
      </c>
      <c r="AJ2" s="10" t="s">
        <v>15</v>
      </c>
      <c r="AK2" s="10" t="s">
        <v>15</v>
      </c>
      <c r="AL2" s="10" t="s">
        <v>15</v>
      </c>
      <c r="AM2" s="10" t="s">
        <v>15</v>
      </c>
      <c r="AN2" s="10" t="s">
        <v>15</v>
      </c>
      <c r="AO2" s="10" t="s">
        <v>15</v>
      </c>
      <c r="AP2" s="10" t="s">
        <v>15</v>
      </c>
      <c r="AQ2" s="4" t="s">
        <v>55</v>
      </c>
      <c r="AR2" s="4" t="s">
        <v>55</v>
      </c>
      <c r="AS2" s="4" t="s">
        <v>63</v>
      </c>
      <c r="AT2" s="4" t="s">
        <v>55</v>
      </c>
      <c r="AU2" s="21" t="s">
        <v>55</v>
      </c>
      <c r="AV2" s="4" t="s">
        <v>55</v>
      </c>
      <c r="AW2" s="4" t="s">
        <v>55</v>
      </c>
      <c r="AX2" s="4" t="s">
        <v>55</v>
      </c>
      <c r="AY2" s="34" t="s">
        <v>375</v>
      </c>
      <c r="BA2" s="10" t="s">
        <v>14</v>
      </c>
    </row>
    <row r="3" spans="1:54" ht="57" customHeight="1" x14ac:dyDescent="0.2">
      <c r="A3" s="11" t="s">
        <v>70</v>
      </c>
      <c r="E3" s="11">
        <v>100</v>
      </c>
      <c r="F3" s="11">
        <v>100</v>
      </c>
      <c r="G3" s="16"/>
      <c r="T3" s="12">
        <v>0.02</v>
      </c>
      <c r="U3" s="18"/>
      <c r="W3" s="18"/>
      <c r="AP3" s="22"/>
      <c r="AQ3" s="11" t="s">
        <v>71</v>
      </c>
      <c r="AR3" s="6" t="s">
        <v>64</v>
      </c>
      <c r="AS3" s="2" t="s">
        <v>72</v>
      </c>
      <c r="AT3" s="7" t="s">
        <v>73</v>
      </c>
      <c r="AU3" s="8" t="s">
        <v>74</v>
      </c>
      <c r="AV3" s="9" t="s">
        <v>75</v>
      </c>
      <c r="AW3" s="23" t="s">
        <v>76</v>
      </c>
      <c r="AX3" s="5" t="s">
        <v>77</v>
      </c>
      <c r="BA3" s="11" t="s">
        <v>78</v>
      </c>
      <c r="BB3" s="11" t="s">
        <v>70</v>
      </c>
    </row>
    <row r="4" spans="1:54" ht="57" customHeight="1" x14ac:dyDescent="0.2">
      <c r="A4" s="11" t="s">
        <v>79</v>
      </c>
      <c r="E4" s="11">
        <v>300</v>
      </c>
      <c r="F4" s="11">
        <v>400</v>
      </c>
      <c r="G4" s="16"/>
      <c r="N4" s="12">
        <v>0.1</v>
      </c>
      <c r="U4" s="18"/>
      <c r="W4" s="18"/>
      <c r="AP4" s="22"/>
      <c r="AQ4" s="11" t="s">
        <v>80</v>
      </c>
      <c r="AR4" s="6" t="s">
        <v>64</v>
      </c>
      <c r="AS4" s="2" t="s">
        <v>72</v>
      </c>
      <c r="AT4" s="7" t="s">
        <v>81</v>
      </c>
      <c r="AU4" s="8" t="s">
        <v>82</v>
      </c>
      <c r="AV4" s="9" t="s">
        <v>75</v>
      </c>
      <c r="AW4" s="23" t="s">
        <v>83</v>
      </c>
      <c r="AX4" s="5" t="s">
        <v>77</v>
      </c>
      <c r="BA4" s="11" t="s">
        <v>78</v>
      </c>
      <c r="BB4" s="11" t="s">
        <v>79</v>
      </c>
    </row>
    <row r="5" spans="1:54" ht="57" customHeight="1" x14ac:dyDescent="0.2">
      <c r="A5" s="11" t="s">
        <v>84</v>
      </c>
      <c r="E5" s="11">
        <v>500</v>
      </c>
      <c r="F5" s="11">
        <v>700</v>
      </c>
      <c r="G5" s="16"/>
      <c r="O5" s="12">
        <v>0.1</v>
      </c>
      <c r="U5" s="18"/>
      <c r="AP5" s="22"/>
      <c r="AQ5" s="11" t="s">
        <v>85</v>
      </c>
      <c r="AR5" s="6" t="s">
        <v>64</v>
      </c>
      <c r="AS5" s="2" t="s">
        <v>72</v>
      </c>
      <c r="AT5" s="32" t="s">
        <v>372</v>
      </c>
      <c r="AU5" s="8" t="s">
        <v>86</v>
      </c>
      <c r="AV5" s="9" t="s">
        <v>75</v>
      </c>
      <c r="AW5" s="23" t="s">
        <v>87</v>
      </c>
      <c r="AX5" s="5" t="s">
        <v>77</v>
      </c>
      <c r="BA5" s="11" t="s">
        <v>78</v>
      </c>
      <c r="BB5" s="11" t="s">
        <v>84</v>
      </c>
    </row>
    <row r="6" spans="1:54" ht="57" customHeight="1" x14ac:dyDescent="0.2">
      <c r="A6" s="11" t="s">
        <v>88</v>
      </c>
      <c r="D6" s="11">
        <v>5000</v>
      </c>
      <c r="F6" s="11">
        <v>1000</v>
      </c>
      <c r="G6" s="16">
        <v>0.1</v>
      </c>
      <c r="U6" s="18"/>
      <c r="AP6" s="22"/>
      <c r="AQ6" s="11" t="s">
        <v>89</v>
      </c>
      <c r="AR6" s="6" t="s">
        <v>64</v>
      </c>
      <c r="AS6" s="2" t="s">
        <v>72</v>
      </c>
      <c r="AT6" s="7" t="s">
        <v>90</v>
      </c>
      <c r="AU6" s="8" t="s">
        <v>91</v>
      </c>
      <c r="AV6" s="9" t="s">
        <v>75</v>
      </c>
      <c r="AW6" s="23" t="s">
        <v>92</v>
      </c>
      <c r="AX6" s="5" t="s">
        <v>77</v>
      </c>
      <c r="AY6" s="33" t="s">
        <v>373</v>
      </c>
      <c r="BA6" s="11" t="s">
        <v>78</v>
      </c>
      <c r="BB6" s="11" t="s">
        <v>88</v>
      </c>
    </row>
    <row r="7" spans="1:54" ht="57" customHeight="1" x14ac:dyDescent="0.2">
      <c r="A7" s="11" t="s">
        <v>93</v>
      </c>
      <c r="B7" s="11">
        <v>1000</v>
      </c>
      <c r="F7" s="11">
        <v>1300</v>
      </c>
      <c r="G7" s="16"/>
      <c r="J7" s="12">
        <v>0.1</v>
      </c>
      <c r="U7" s="18"/>
      <c r="AP7" s="22"/>
      <c r="AQ7" s="11" t="s">
        <v>94</v>
      </c>
      <c r="AR7" s="6" t="s">
        <v>64</v>
      </c>
      <c r="AS7" s="2" t="s">
        <v>72</v>
      </c>
      <c r="AT7" s="7" t="s">
        <v>95</v>
      </c>
      <c r="AU7" s="8" t="s">
        <v>96</v>
      </c>
      <c r="AV7" s="9" t="s">
        <v>75</v>
      </c>
      <c r="AW7" s="23" t="s">
        <v>97</v>
      </c>
      <c r="AX7" s="5" t="s">
        <v>77</v>
      </c>
      <c r="AY7" s="2" t="str">
        <f t="shared" ref="AY7:AY38" si="0">NextId(AY6)</f>
        <v>h00A</v>
      </c>
      <c r="BA7" s="11" t="s">
        <v>78</v>
      </c>
      <c r="BB7" s="11" t="s">
        <v>93</v>
      </c>
    </row>
    <row r="8" spans="1:54" ht="57" customHeight="1" x14ac:dyDescent="0.2">
      <c r="A8" s="11" t="s">
        <v>98</v>
      </c>
      <c r="E8" s="11">
        <v>1000</v>
      </c>
      <c r="F8" s="11">
        <v>1600</v>
      </c>
      <c r="G8" s="16"/>
      <c r="R8" s="12">
        <v>0.02</v>
      </c>
      <c r="U8" s="18"/>
      <c r="AP8" s="22"/>
      <c r="AQ8" s="11" t="s">
        <v>99</v>
      </c>
      <c r="AR8" s="6" t="s">
        <v>64</v>
      </c>
      <c r="AS8" s="2" t="s">
        <v>72</v>
      </c>
      <c r="AT8" s="7" t="s">
        <v>100</v>
      </c>
      <c r="AU8" s="8" t="s">
        <v>101</v>
      </c>
      <c r="AV8" s="9" t="s">
        <v>75</v>
      </c>
      <c r="AW8" s="23" t="s">
        <v>102</v>
      </c>
      <c r="AX8" s="5" t="s">
        <v>77</v>
      </c>
      <c r="AY8" s="2" t="str">
        <f t="shared" si="0"/>
        <v>h00B</v>
      </c>
      <c r="BA8" s="11" t="s">
        <v>78</v>
      </c>
      <c r="BB8" s="11" t="s">
        <v>98</v>
      </c>
    </row>
    <row r="9" spans="1:54" ht="57" customHeight="1" x14ac:dyDescent="0.2">
      <c r="A9" s="11" t="s">
        <v>103</v>
      </c>
      <c r="F9" s="11">
        <v>1900</v>
      </c>
      <c r="G9" s="16"/>
      <c r="H9" s="12">
        <v>0.02</v>
      </c>
      <c r="I9" s="12">
        <v>0.1</v>
      </c>
      <c r="U9" s="18"/>
      <c r="AP9" s="22"/>
      <c r="AQ9" s="11" t="s">
        <v>104</v>
      </c>
      <c r="AR9" s="6" t="s">
        <v>64</v>
      </c>
      <c r="AS9" s="2" t="s">
        <v>72</v>
      </c>
      <c r="AT9" s="7" t="s">
        <v>105</v>
      </c>
      <c r="AU9" s="8" t="s">
        <v>106</v>
      </c>
      <c r="AV9" s="9" t="s">
        <v>75</v>
      </c>
      <c r="AW9" s="23" t="s">
        <v>107</v>
      </c>
      <c r="AX9" s="5" t="s">
        <v>77</v>
      </c>
      <c r="AY9" s="2" t="str">
        <f t="shared" si="0"/>
        <v>h00C</v>
      </c>
      <c r="BA9" s="11" t="s">
        <v>78</v>
      </c>
      <c r="BB9" s="11" t="s">
        <v>103</v>
      </c>
    </row>
    <row r="10" spans="1:54" ht="57" customHeight="1" x14ac:dyDescent="0.2">
      <c r="A10" s="11" t="s">
        <v>108</v>
      </c>
      <c r="F10" s="11">
        <v>2200</v>
      </c>
      <c r="G10" s="16"/>
      <c r="K10" s="12">
        <v>0.02</v>
      </c>
      <c r="L10" s="12">
        <v>0.1</v>
      </c>
      <c r="AP10" s="22"/>
      <c r="AQ10" s="11" t="s">
        <v>109</v>
      </c>
      <c r="AR10" s="6" t="s">
        <v>64</v>
      </c>
      <c r="AS10" s="2" t="s">
        <v>72</v>
      </c>
      <c r="AT10" s="7" t="s">
        <v>110</v>
      </c>
      <c r="AU10" s="8" t="s">
        <v>111</v>
      </c>
      <c r="AV10" s="9" t="s">
        <v>75</v>
      </c>
      <c r="AW10" s="23" t="s">
        <v>112</v>
      </c>
      <c r="AX10" s="5" t="s">
        <v>77</v>
      </c>
      <c r="AY10" s="2" t="str">
        <f t="shared" si="0"/>
        <v>h00D</v>
      </c>
      <c r="BA10" s="11" t="s">
        <v>78</v>
      </c>
      <c r="BB10" s="11" t="s">
        <v>108</v>
      </c>
    </row>
    <row r="11" spans="1:54" ht="57" customHeight="1" x14ac:dyDescent="0.2">
      <c r="A11" s="11" t="s">
        <v>113</v>
      </c>
      <c r="C11" s="11">
        <v>20</v>
      </c>
      <c r="F11" s="11">
        <v>2500</v>
      </c>
      <c r="G11" s="16"/>
      <c r="Q11" s="11">
        <v>10</v>
      </c>
      <c r="AP11" s="22"/>
      <c r="AQ11" s="11" t="s">
        <v>114</v>
      </c>
      <c r="AR11" s="6" t="s">
        <v>64</v>
      </c>
      <c r="AS11" s="2" t="s">
        <v>72</v>
      </c>
      <c r="AT11" s="7" t="s">
        <v>115</v>
      </c>
      <c r="AU11" s="8" t="s">
        <v>116</v>
      </c>
      <c r="AV11" s="9" t="s">
        <v>75</v>
      </c>
      <c r="AW11" s="23" t="s">
        <v>117</v>
      </c>
      <c r="AX11" s="5" t="s">
        <v>77</v>
      </c>
      <c r="AY11" s="2" t="str">
        <f t="shared" si="0"/>
        <v>h00E</v>
      </c>
      <c r="BA11" s="11" t="s">
        <v>78</v>
      </c>
      <c r="BB11" s="11" t="s">
        <v>113</v>
      </c>
    </row>
    <row r="12" spans="1:54" ht="57" customHeight="1" x14ac:dyDescent="0.2">
      <c r="A12" s="11" t="s">
        <v>118</v>
      </c>
      <c r="B12" s="11">
        <v>2000</v>
      </c>
      <c r="D12" s="11">
        <v>10000</v>
      </c>
      <c r="E12" s="11">
        <v>1500</v>
      </c>
      <c r="F12" s="11">
        <v>2800</v>
      </c>
      <c r="G12" s="16"/>
      <c r="M12" s="12">
        <v>0.05</v>
      </c>
      <c r="AP12" s="22"/>
      <c r="AQ12" s="11" t="s">
        <v>119</v>
      </c>
      <c r="AR12" s="6" t="s">
        <v>64</v>
      </c>
      <c r="AS12" s="2" t="s">
        <v>72</v>
      </c>
      <c r="AT12" s="7" t="s">
        <v>120</v>
      </c>
      <c r="AU12" s="8" t="s">
        <v>121</v>
      </c>
      <c r="AV12" s="9" t="s">
        <v>75</v>
      </c>
      <c r="AW12" s="23" t="s">
        <v>122</v>
      </c>
      <c r="AX12" s="5" t="s">
        <v>77</v>
      </c>
      <c r="AY12" s="2" t="str">
        <f t="shared" si="0"/>
        <v>h00F</v>
      </c>
      <c r="BA12" s="11" t="s">
        <v>78</v>
      </c>
      <c r="BB12" s="11" t="s">
        <v>118</v>
      </c>
    </row>
    <row r="13" spans="1:54" ht="57" customHeight="1" x14ac:dyDescent="0.2">
      <c r="A13" s="11" t="s">
        <v>123</v>
      </c>
      <c r="E13" s="11">
        <v>2000</v>
      </c>
      <c r="F13" s="11">
        <v>3100</v>
      </c>
      <c r="T13" s="12">
        <v>0.03</v>
      </c>
      <c r="AQ13" s="11" t="s">
        <v>124</v>
      </c>
      <c r="AR13" s="6" t="s">
        <v>64</v>
      </c>
      <c r="AS13" s="2" t="s">
        <v>72</v>
      </c>
      <c r="AT13" s="7" t="s">
        <v>125</v>
      </c>
      <c r="AU13" s="8" t="s">
        <v>126</v>
      </c>
      <c r="AV13" s="9" t="s">
        <v>75</v>
      </c>
      <c r="AW13" s="23" t="s">
        <v>127</v>
      </c>
      <c r="AX13" s="5" t="s">
        <v>77</v>
      </c>
      <c r="AY13" s="2" t="str">
        <f t="shared" si="0"/>
        <v>h00G</v>
      </c>
      <c r="BA13" s="11" t="s">
        <v>78</v>
      </c>
      <c r="BB13" s="11" t="s">
        <v>123</v>
      </c>
    </row>
    <row r="14" spans="1:54" ht="57" customHeight="1" x14ac:dyDescent="0.2">
      <c r="A14" s="11" t="s">
        <v>128</v>
      </c>
      <c r="E14" s="11">
        <v>5000</v>
      </c>
      <c r="F14" s="11">
        <v>3400</v>
      </c>
      <c r="N14" s="12">
        <v>0.2</v>
      </c>
      <c r="U14" s="18"/>
      <c r="AP14" s="22"/>
      <c r="AQ14" s="11" t="s">
        <v>129</v>
      </c>
      <c r="AR14" s="6" t="s">
        <v>64</v>
      </c>
      <c r="AS14" s="2" t="s">
        <v>72</v>
      </c>
      <c r="AT14" s="7" t="s">
        <v>130</v>
      </c>
      <c r="AU14" s="8" t="s">
        <v>131</v>
      </c>
      <c r="AV14" s="9" t="s">
        <v>75</v>
      </c>
      <c r="AW14" s="23" t="s">
        <v>132</v>
      </c>
      <c r="AX14" s="5" t="s">
        <v>77</v>
      </c>
      <c r="AY14" s="2" t="str">
        <f t="shared" si="0"/>
        <v>h00H</v>
      </c>
      <c r="BA14" s="11" t="s">
        <v>78</v>
      </c>
      <c r="BB14" s="11" t="s">
        <v>128</v>
      </c>
    </row>
    <row r="15" spans="1:54" ht="57" customHeight="1" x14ac:dyDescent="0.2">
      <c r="A15" s="11" t="s">
        <v>133</v>
      </c>
      <c r="E15" s="11">
        <v>8000</v>
      </c>
      <c r="F15" s="11">
        <v>3700</v>
      </c>
      <c r="O15" s="12">
        <v>0.2</v>
      </c>
      <c r="U15" s="18"/>
      <c r="AP15" s="22"/>
      <c r="AQ15" s="11" t="s">
        <v>134</v>
      </c>
      <c r="AR15" s="6" t="s">
        <v>64</v>
      </c>
      <c r="AS15" s="2" t="s">
        <v>72</v>
      </c>
      <c r="AT15" s="7" t="s">
        <v>135</v>
      </c>
      <c r="AU15" s="8" t="s">
        <v>136</v>
      </c>
      <c r="AV15" s="9" t="s">
        <v>75</v>
      </c>
      <c r="AW15" s="23" t="s">
        <v>137</v>
      </c>
      <c r="AX15" s="5" t="s">
        <v>77</v>
      </c>
      <c r="AY15" s="2" t="str">
        <f t="shared" si="0"/>
        <v>h00I</v>
      </c>
      <c r="BA15" s="11" t="s">
        <v>78</v>
      </c>
      <c r="BB15" s="11" t="s">
        <v>133</v>
      </c>
    </row>
    <row r="16" spans="1:54" ht="57" customHeight="1" x14ac:dyDescent="0.2">
      <c r="A16" s="11" t="s">
        <v>138</v>
      </c>
      <c r="D16" s="11">
        <v>50000</v>
      </c>
      <c r="F16" s="11">
        <v>4000</v>
      </c>
      <c r="G16" s="12">
        <v>0.2</v>
      </c>
      <c r="U16" s="18"/>
      <c r="AP16" s="22"/>
      <c r="AQ16" s="11" t="s">
        <v>139</v>
      </c>
      <c r="AR16" s="6" t="s">
        <v>64</v>
      </c>
      <c r="AS16" s="2" t="s">
        <v>72</v>
      </c>
      <c r="AT16" s="7" t="s">
        <v>140</v>
      </c>
      <c r="AU16" s="8" t="s">
        <v>141</v>
      </c>
      <c r="AV16" s="9" t="s">
        <v>75</v>
      </c>
      <c r="AW16" s="23" t="s">
        <v>142</v>
      </c>
      <c r="AX16" s="5" t="s">
        <v>77</v>
      </c>
      <c r="AY16" s="2" t="str">
        <f t="shared" si="0"/>
        <v>h00J</v>
      </c>
      <c r="BA16" s="11" t="s">
        <v>78</v>
      </c>
      <c r="BB16" s="11" t="s">
        <v>138</v>
      </c>
    </row>
    <row r="17" spans="1:54" ht="57" customHeight="1" x14ac:dyDescent="0.2">
      <c r="A17" s="11" t="s">
        <v>143</v>
      </c>
      <c r="B17" s="11">
        <v>10000</v>
      </c>
      <c r="F17" s="11">
        <v>4300</v>
      </c>
      <c r="J17" s="12">
        <v>0.2</v>
      </c>
      <c r="U17" s="18"/>
      <c r="AP17" s="22"/>
      <c r="AQ17" s="11" t="s">
        <v>144</v>
      </c>
      <c r="AR17" s="6" t="s">
        <v>64</v>
      </c>
      <c r="AS17" s="2" t="s">
        <v>72</v>
      </c>
      <c r="AT17" s="7" t="s">
        <v>145</v>
      </c>
      <c r="AU17" s="8" t="s">
        <v>146</v>
      </c>
      <c r="AV17" s="9" t="s">
        <v>75</v>
      </c>
      <c r="AW17" s="23" t="s">
        <v>147</v>
      </c>
      <c r="AX17" s="5" t="s">
        <v>77</v>
      </c>
      <c r="AY17" s="2" t="str">
        <f t="shared" si="0"/>
        <v>h00K</v>
      </c>
      <c r="BA17" s="11" t="s">
        <v>78</v>
      </c>
      <c r="BB17" s="11" t="s">
        <v>143</v>
      </c>
    </row>
    <row r="18" spans="1:54" ht="57" customHeight="1" x14ac:dyDescent="0.2">
      <c r="A18" s="11" t="s">
        <v>148</v>
      </c>
      <c r="E18" s="11">
        <v>10000</v>
      </c>
      <c r="F18" s="11">
        <v>4600</v>
      </c>
      <c r="R18" s="12">
        <v>0.03</v>
      </c>
      <c r="U18" s="18"/>
      <c r="AP18" s="22"/>
      <c r="AQ18" s="11" t="s">
        <v>149</v>
      </c>
      <c r="AR18" s="6" t="s">
        <v>64</v>
      </c>
      <c r="AS18" s="2" t="s">
        <v>72</v>
      </c>
      <c r="AT18" s="7" t="s">
        <v>150</v>
      </c>
      <c r="AU18" s="8" t="s">
        <v>151</v>
      </c>
      <c r="AV18" s="9" t="s">
        <v>75</v>
      </c>
      <c r="AW18" s="11" t="s">
        <v>152</v>
      </c>
      <c r="AX18" s="5" t="s">
        <v>77</v>
      </c>
      <c r="AY18" s="2" t="str">
        <f t="shared" si="0"/>
        <v>h00L</v>
      </c>
      <c r="BA18" s="11" t="s">
        <v>78</v>
      </c>
      <c r="BB18" s="11" t="s">
        <v>148</v>
      </c>
    </row>
    <row r="19" spans="1:54" ht="57" customHeight="1" x14ac:dyDescent="0.2">
      <c r="A19" s="11" t="s">
        <v>153</v>
      </c>
      <c r="F19" s="11">
        <v>4900</v>
      </c>
      <c r="H19" s="12">
        <v>0.03</v>
      </c>
      <c r="I19" s="12">
        <v>0.2</v>
      </c>
      <c r="U19" s="18"/>
      <c r="AP19" s="22"/>
      <c r="AQ19" s="11" t="s">
        <v>154</v>
      </c>
      <c r="AR19" s="6" t="s">
        <v>64</v>
      </c>
      <c r="AS19" s="2" t="s">
        <v>72</v>
      </c>
      <c r="AT19" s="7" t="s">
        <v>155</v>
      </c>
      <c r="AU19" s="8" t="s">
        <v>156</v>
      </c>
      <c r="AV19" s="9" t="s">
        <v>75</v>
      </c>
      <c r="AW19" s="11" t="s">
        <v>157</v>
      </c>
      <c r="AX19" s="5" t="s">
        <v>77</v>
      </c>
      <c r="AY19" s="2" t="str">
        <f t="shared" si="0"/>
        <v>h00M</v>
      </c>
      <c r="BA19" s="11" t="s">
        <v>78</v>
      </c>
      <c r="BB19" s="11" t="s">
        <v>153</v>
      </c>
    </row>
    <row r="20" spans="1:54" ht="57" customHeight="1" x14ac:dyDescent="0.2">
      <c r="A20" s="11" t="s">
        <v>158</v>
      </c>
      <c r="F20" s="11">
        <v>5200</v>
      </c>
      <c r="K20" s="12">
        <v>0.03</v>
      </c>
      <c r="L20" s="12">
        <v>0.2</v>
      </c>
      <c r="U20" s="18"/>
      <c r="AP20" s="22"/>
      <c r="AQ20" s="11" t="s">
        <v>159</v>
      </c>
      <c r="AR20" s="6" t="s">
        <v>64</v>
      </c>
      <c r="AS20" s="2" t="s">
        <v>72</v>
      </c>
      <c r="AT20" s="7" t="s">
        <v>160</v>
      </c>
      <c r="AU20" s="8" t="s">
        <v>161</v>
      </c>
      <c r="AV20" s="9" t="s">
        <v>75</v>
      </c>
      <c r="AW20" s="11" t="s">
        <v>162</v>
      </c>
      <c r="AX20" s="5" t="s">
        <v>77</v>
      </c>
      <c r="AY20" s="2" t="str">
        <f t="shared" si="0"/>
        <v>h00N</v>
      </c>
      <c r="BA20" s="11" t="s">
        <v>78</v>
      </c>
      <c r="BB20" s="11" t="s">
        <v>158</v>
      </c>
    </row>
    <row r="21" spans="1:54" ht="57" customHeight="1" x14ac:dyDescent="0.2">
      <c r="A21" s="11" t="s">
        <v>163</v>
      </c>
      <c r="C21" s="11">
        <v>30</v>
      </c>
      <c r="F21" s="11">
        <v>5500</v>
      </c>
      <c r="Q21" s="11">
        <v>20</v>
      </c>
      <c r="U21" s="18"/>
      <c r="AP21" s="22"/>
      <c r="AQ21" s="11" t="s">
        <v>164</v>
      </c>
      <c r="AR21" s="6" t="s">
        <v>64</v>
      </c>
      <c r="AS21" s="2" t="s">
        <v>72</v>
      </c>
      <c r="AT21" s="7" t="s">
        <v>165</v>
      </c>
      <c r="AU21" s="8" t="s">
        <v>166</v>
      </c>
      <c r="AV21" s="9" t="s">
        <v>75</v>
      </c>
      <c r="AW21" s="11" t="s">
        <v>167</v>
      </c>
      <c r="AX21" s="5" t="s">
        <v>77</v>
      </c>
      <c r="AY21" s="2" t="str">
        <f t="shared" si="0"/>
        <v>h00O</v>
      </c>
      <c r="BA21" s="11" t="s">
        <v>78</v>
      </c>
      <c r="BB21" s="11" t="s">
        <v>163</v>
      </c>
    </row>
    <row r="22" spans="1:54" ht="57" customHeight="1" x14ac:dyDescent="0.2">
      <c r="A22" s="11" t="s">
        <v>168</v>
      </c>
      <c r="B22" s="11">
        <v>20000</v>
      </c>
      <c r="D22" s="11">
        <v>100000</v>
      </c>
      <c r="E22" s="11">
        <v>12000</v>
      </c>
      <c r="F22" s="11">
        <v>5800</v>
      </c>
      <c r="M22" s="12">
        <v>0.1</v>
      </c>
      <c r="U22" s="18"/>
      <c r="AP22" s="22"/>
      <c r="AQ22" s="11" t="s">
        <v>169</v>
      </c>
      <c r="AR22" s="6" t="s">
        <v>64</v>
      </c>
      <c r="AS22" s="2" t="s">
        <v>72</v>
      </c>
      <c r="AT22" s="7" t="s">
        <v>170</v>
      </c>
      <c r="AU22" s="8" t="s">
        <v>171</v>
      </c>
      <c r="AV22" s="9" t="s">
        <v>75</v>
      </c>
      <c r="AW22" s="11" t="s">
        <v>172</v>
      </c>
      <c r="AX22" s="5" t="s">
        <v>77</v>
      </c>
      <c r="AY22" s="2" t="str">
        <f t="shared" si="0"/>
        <v>h00P</v>
      </c>
      <c r="BA22" s="11" t="s">
        <v>78</v>
      </c>
      <c r="BB22" s="11" t="s">
        <v>168</v>
      </c>
    </row>
    <row r="23" spans="1:54" ht="57" customHeight="1" x14ac:dyDescent="0.2">
      <c r="A23" s="11" t="s">
        <v>173</v>
      </c>
      <c r="E23" s="11">
        <v>15000</v>
      </c>
      <c r="F23" s="11">
        <v>6100</v>
      </c>
      <c r="T23" s="12">
        <v>0.04</v>
      </c>
      <c r="U23" s="18"/>
      <c r="AP23" s="22"/>
      <c r="AQ23" s="11" t="s">
        <v>174</v>
      </c>
      <c r="AR23" s="6" t="s">
        <v>64</v>
      </c>
      <c r="AS23" s="2" t="s">
        <v>72</v>
      </c>
      <c r="AT23" s="7" t="s">
        <v>175</v>
      </c>
      <c r="AU23" s="8" t="s">
        <v>176</v>
      </c>
      <c r="AV23" s="9" t="s">
        <v>75</v>
      </c>
      <c r="AW23" s="11" t="s">
        <v>177</v>
      </c>
      <c r="AX23" s="5" t="s">
        <v>77</v>
      </c>
      <c r="AY23" s="2" t="str">
        <f t="shared" si="0"/>
        <v>h00Q</v>
      </c>
      <c r="BA23" s="11" t="s">
        <v>78</v>
      </c>
      <c r="BB23" s="11" t="s">
        <v>173</v>
      </c>
    </row>
    <row r="24" spans="1:54" ht="57" customHeight="1" x14ac:dyDescent="0.2">
      <c r="A24" s="11" t="s">
        <v>178</v>
      </c>
      <c r="E24" s="11">
        <v>20000</v>
      </c>
      <c r="F24" s="11">
        <v>6400</v>
      </c>
      <c r="N24" s="12">
        <v>0.3</v>
      </c>
      <c r="U24" s="18"/>
      <c r="AP24" s="22"/>
      <c r="AQ24" s="11" t="s">
        <v>179</v>
      </c>
      <c r="AR24" s="6" t="s">
        <v>64</v>
      </c>
      <c r="AS24" s="2" t="s">
        <v>72</v>
      </c>
      <c r="AT24" s="7" t="s">
        <v>180</v>
      </c>
      <c r="AU24" s="8" t="s">
        <v>181</v>
      </c>
      <c r="AV24" s="9" t="s">
        <v>75</v>
      </c>
      <c r="AW24" s="11" t="s">
        <v>182</v>
      </c>
      <c r="AX24" s="5" t="s">
        <v>77</v>
      </c>
      <c r="AY24" s="2" t="str">
        <f t="shared" si="0"/>
        <v>h00R</v>
      </c>
      <c r="BA24" s="11" t="s">
        <v>78</v>
      </c>
      <c r="BB24" s="11" t="s">
        <v>178</v>
      </c>
    </row>
    <row r="25" spans="1:54" ht="57" customHeight="1" x14ac:dyDescent="0.2">
      <c r="A25" s="11" t="s">
        <v>183</v>
      </c>
      <c r="E25" s="11">
        <v>25000</v>
      </c>
      <c r="F25" s="11">
        <v>6700</v>
      </c>
      <c r="O25" s="12">
        <v>0.3</v>
      </c>
      <c r="U25" s="18"/>
      <c r="AQ25" s="11" t="s">
        <v>184</v>
      </c>
      <c r="AR25" s="6" t="s">
        <v>64</v>
      </c>
      <c r="AS25" s="2" t="s">
        <v>72</v>
      </c>
      <c r="AT25" s="7" t="s">
        <v>185</v>
      </c>
      <c r="AU25" s="8" t="s">
        <v>186</v>
      </c>
      <c r="AV25" s="9" t="s">
        <v>75</v>
      </c>
      <c r="AW25" s="11" t="s">
        <v>187</v>
      </c>
      <c r="AX25" s="5" t="s">
        <v>77</v>
      </c>
      <c r="AY25" s="2" t="str">
        <f t="shared" si="0"/>
        <v>h00S</v>
      </c>
      <c r="BA25" s="11" t="s">
        <v>78</v>
      </c>
      <c r="BB25" s="11" t="s">
        <v>183</v>
      </c>
    </row>
    <row r="26" spans="1:54" ht="57" customHeight="1" x14ac:dyDescent="0.2">
      <c r="A26" s="11" t="s">
        <v>188</v>
      </c>
      <c r="D26" s="11">
        <v>200000</v>
      </c>
      <c r="F26" s="11">
        <v>7000</v>
      </c>
      <c r="G26" s="12">
        <v>0.3</v>
      </c>
      <c r="U26" s="18"/>
      <c r="AP26" s="22"/>
      <c r="AQ26" s="11" t="s">
        <v>189</v>
      </c>
      <c r="AR26" s="6" t="s">
        <v>64</v>
      </c>
      <c r="AS26" s="2" t="s">
        <v>72</v>
      </c>
      <c r="AT26" s="7" t="s">
        <v>190</v>
      </c>
      <c r="AU26" s="8" t="s">
        <v>191</v>
      </c>
      <c r="AV26" s="9" t="s">
        <v>75</v>
      </c>
      <c r="AW26" s="11" t="s">
        <v>192</v>
      </c>
      <c r="AX26" s="5" t="s">
        <v>77</v>
      </c>
      <c r="AY26" s="2" t="str">
        <f t="shared" si="0"/>
        <v>h00T</v>
      </c>
      <c r="BA26" s="11" t="s">
        <v>78</v>
      </c>
      <c r="BB26" s="11" t="s">
        <v>188</v>
      </c>
    </row>
    <row r="27" spans="1:54" ht="57" customHeight="1" x14ac:dyDescent="0.2">
      <c r="A27" s="11" t="s">
        <v>193</v>
      </c>
      <c r="B27" s="11">
        <v>40000</v>
      </c>
      <c r="F27" s="11">
        <v>7300</v>
      </c>
      <c r="J27" s="12">
        <v>0.3</v>
      </c>
      <c r="U27" s="18"/>
      <c r="AP27" s="22"/>
      <c r="AQ27" s="11" t="s">
        <v>194</v>
      </c>
      <c r="AR27" s="6" t="s">
        <v>64</v>
      </c>
      <c r="AS27" s="2" t="s">
        <v>72</v>
      </c>
      <c r="AT27" s="7" t="s">
        <v>195</v>
      </c>
      <c r="AU27" s="8" t="s">
        <v>196</v>
      </c>
      <c r="AV27" s="9" t="s">
        <v>75</v>
      </c>
      <c r="AW27" s="23" t="s">
        <v>197</v>
      </c>
      <c r="AX27" s="5" t="s">
        <v>77</v>
      </c>
      <c r="AY27" s="2" t="str">
        <f t="shared" si="0"/>
        <v>h00U</v>
      </c>
      <c r="BA27" s="11" t="s">
        <v>78</v>
      </c>
      <c r="BB27" s="11" t="s">
        <v>193</v>
      </c>
    </row>
    <row r="28" spans="1:54" ht="57" customHeight="1" x14ac:dyDescent="0.2">
      <c r="A28" s="11" t="s">
        <v>198</v>
      </c>
      <c r="E28" s="11">
        <v>30000</v>
      </c>
      <c r="F28" s="11">
        <v>7600</v>
      </c>
      <c r="R28" s="12">
        <v>0.04</v>
      </c>
      <c r="U28" s="18"/>
      <c r="AP28" s="22"/>
      <c r="AQ28" s="11" t="s">
        <v>199</v>
      </c>
      <c r="AR28" s="6" t="s">
        <v>64</v>
      </c>
      <c r="AS28" s="2" t="s">
        <v>72</v>
      </c>
      <c r="AT28" s="7" t="s">
        <v>200</v>
      </c>
      <c r="AU28" s="8" t="s">
        <v>201</v>
      </c>
      <c r="AV28" s="9" t="s">
        <v>75</v>
      </c>
      <c r="AW28" s="11" t="s">
        <v>202</v>
      </c>
      <c r="AX28" s="5" t="s">
        <v>77</v>
      </c>
      <c r="AY28" s="2" t="str">
        <f t="shared" si="0"/>
        <v>h00V</v>
      </c>
      <c r="BA28" s="11" t="s">
        <v>78</v>
      </c>
      <c r="BB28" s="11" t="s">
        <v>198</v>
      </c>
    </row>
    <row r="29" spans="1:54" ht="57" customHeight="1" x14ac:dyDescent="0.2">
      <c r="A29" s="11" t="s">
        <v>203</v>
      </c>
      <c r="F29" s="11">
        <v>7900</v>
      </c>
      <c r="H29" s="12">
        <v>0.04</v>
      </c>
      <c r="I29" s="12">
        <v>0.3</v>
      </c>
      <c r="U29" s="18"/>
      <c r="AP29" s="22"/>
      <c r="AQ29" s="11" t="s">
        <v>204</v>
      </c>
      <c r="AR29" s="6" t="s">
        <v>64</v>
      </c>
      <c r="AS29" s="2" t="s">
        <v>72</v>
      </c>
      <c r="AT29" s="7" t="s">
        <v>205</v>
      </c>
      <c r="AU29" s="8" t="s">
        <v>206</v>
      </c>
      <c r="AV29" s="9" t="s">
        <v>75</v>
      </c>
      <c r="AW29" s="11" t="s">
        <v>207</v>
      </c>
      <c r="AX29" s="5" t="s">
        <v>77</v>
      </c>
      <c r="AY29" s="2" t="str">
        <f t="shared" si="0"/>
        <v>h00W</v>
      </c>
      <c r="BA29" s="11" t="s">
        <v>78</v>
      </c>
      <c r="BB29" s="11" t="s">
        <v>203</v>
      </c>
    </row>
    <row r="30" spans="1:54" ht="57" customHeight="1" x14ac:dyDescent="0.2">
      <c r="A30" s="11" t="s">
        <v>208</v>
      </c>
      <c r="F30" s="11">
        <v>8200</v>
      </c>
      <c r="K30" s="12">
        <v>0.04</v>
      </c>
      <c r="L30" s="12">
        <v>0.3</v>
      </c>
      <c r="U30" s="18"/>
      <c r="AP30" s="22"/>
      <c r="AQ30" s="11" t="s">
        <v>209</v>
      </c>
      <c r="AR30" s="6" t="s">
        <v>64</v>
      </c>
      <c r="AS30" s="2" t="s">
        <v>72</v>
      </c>
      <c r="AT30" s="7" t="s">
        <v>175</v>
      </c>
      <c r="AU30" s="8" t="s">
        <v>210</v>
      </c>
      <c r="AV30" s="9" t="s">
        <v>75</v>
      </c>
      <c r="AW30" s="11" t="s">
        <v>211</v>
      </c>
      <c r="AX30" s="5" t="s">
        <v>77</v>
      </c>
      <c r="AY30" s="2" t="str">
        <f t="shared" si="0"/>
        <v>h00X</v>
      </c>
      <c r="BA30" s="11" t="s">
        <v>78</v>
      </c>
      <c r="BB30" s="11" t="s">
        <v>208</v>
      </c>
    </row>
    <row r="31" spans="1:54" ht="57" customHeight="1" x14ac:dyDescent="0.2">
      <c r="A31" s="11" t="s">
        <v>212</v>
      </c>
      <c r="C31" s="11">
        <v>40</v>
      </c>
      <c r="F31" s="11">
        <v>8500</v>
      </c>
      <c r="Q31" s="11">
        <v>30</v>
      </c>
      <c r="U31" s="18"/>
      <c r="AQ31" s="11" t="s">
        <v>213</v>
      </c>
      <c r="AR31" s="6" t="s">
        <v>64</v>
      </c>
      <c r="AS31" s="2" t="s">
        <v>72</v>
      </c>
      <c r="AT31" s="7" t="s">
        <v>214</v>
      </c>
      <c r="AU31" s="8" t="s">
        <v>215</v>
      </c>
      <c r="AV31" s="9" t="s">
        <v>75</v>
      </c>
      <c r="AW31" s="11" t="s">
        <v>216</v>
      </c>
      <c r="AX31" s="5" t="s">
        <v>77</v>
      </c>
      <c r="AY31" s="2" t="str">
        <f t="shared" si="0"/>
        <v>h00Y</v>
      </c>
      <c r="BA31" s="11" t="s">
        <v>78</v>
      </c>
      <c r="BB31" s="11" t="s">
        <v>212</v>
      </c>
    </row>
    <row r="32" spans="1:54" ht="57" customHeight="1" x14ac:dyDescent="0.2">
      <c r="A32" s="11" t="s">
        <v>217</v>
      </c>
      <c r="B32" s="11">
        <v>80000</v>
      </c>
      <c r="D32" s="11">
        <v>400000</v>
      </c>
      <c r="E32" s="11">
        <v>35000</v>
      </c>
      <c r="F32" s="11">
        <v>8800</v>
      </c>
      <c r="M32" s="12">
        <v>0.2</v>
      </c>
      <c r="AP32" s="22"/>
      <c r="AQ32" s="11" t="s">
        <v>218</v>
      </c>
      <c r="AR32" s="6" t="s">
        <v>64</v>
      </c>
      <c r="AS32" s="2" t="s">
        <v>72</v>
      </c>
      <c r="AT32" s="7" t="s">
        <v>219</v>
      </c>
      <c r="AU32" s="8" t="s">
        <v>220</v>
      </c>
      <c r="AV32" s="9" t="s">
        <v>75</v>
      </c>
      <c r="AW32" s="11" t="s">
        <v>221</v>
      </c>
      <c r="AX32" s="5" t="s">
        <v>77</v>
      </c>
      <c r="AY32" s="2" t="str">
        <f t="shared" si="0"/>
        <v>h00Z</v>
      </c>
      <c r="BA32" s="11" t="s">
        <v>78</v>
      </c>
      <c r="BB32" s="11" t="s">
        <v>217</v>
      </c>
    </row>
    <row r="33" spans="1:54" ht="57" customHeight="1" x14ac:dyDescent="0.2">
      <c r="A33" s="11" t="s">
        <v>222</v>
      </c>
      <c r="E33" s="11">
        <v>40000</v>
      </c>
      <c r="F33" s="11">
        <v>9100</v>
      </c>
      <c r="T33" s="12">
        <v>0.05</v>
      </c>
      <c r="U33" s="18"/>
      <c r="AP33" s="22"/>
      <c r="AQ33" s="11" t="s">
        <v>223</v>
      </c>
      <c r="AR33" s="6" t="s">
        <v>64</v>
      </c>
      <c r="AS33" s="2" t="s">
        <v>72</v>
      </c>
      <c r="AT33" s="7" t="s">
        <v>224</v>
      </c>
      <c r="AU33" s="8" t="s">
        <v>225</v>
      </c>
      <c r="AV33" s="9" t="s">
        <v>75</v>
      </c>
      <c r="AW33" s="11" t="s">
        <v>226</v>
      </c>
      <c r="AX33" s="5" t="s">
        <v>77</v>
      </c>
      <c r="AY33" s="2" t="str">
        <f t="shared" si="0"/>
        <v>h010</v>
      </c>
      <c r="BA33" s="11" t="s">
        <v>78</v>
      </c>
      <c r="BB33" s="11" t="s">
        <v>222</v>
      </c>
    </row>
    <row r="34" spans="1:54" ht="57" customHeight="1" x14ac:dyDescent="0.2">
      <c r="A34" s="11" t="s">
        <v>227</v>
      </c>
      <c r="E34" s="11">
        <v>48000</v>
      </c>
      <c r="F34" s="11">
        <v>9400</v>
      </c>
      <c r="N34" s="12">
        <v>0.4</v>
      </c>
      <c r="U34" s="18"/>
      <c r="AP34" s="22"/>
      <c r="AQ34" s="11" t="s">
        <v>228</v>
      </c>
      <c r="AR34" s="6" t="s">
        <v>64</v>
      </c>
      <c r="AS34" s="2" t="s">
        <v>72</v>
      </c>
      <c r="AT34" s="7" t="s">
        <v>229</v>
      </c>
      <c r="AU34" s="8" t="s">
        <v>230</v>
      </c>
      <c r="AV34" s="9" t="s">
        <v>75</v>
      </c>
      <c r="AW34" s="11" t="s">
        <v>231</v>
      </c>
      <c r="AX34" s="5" t="s">
        <v>77</v>
      </c>
      <c r="AY34" s="2" t="str">
        <f t="shared" si="0"/>
        <v>h011</v>
      </c>
      <c r="BA34" s="11" t="s">
        <v>78</v>
      </c>
      <c r="BB34" s="11" t="s">
        <v>227</v>
      </c>
    </row>
    <row r="35" spans="1:54" ht="57" customHeight="1" x14ac:dyDescent="0.2">
      <c r="A35" s="11" t="s">
        <v>232</v>
      </c>
      <c r="E35" s="11">
        <v>55000</v>
      </c>
      <c r="F35" s="11">
        <v>9700</v>
      </c>
      <c r="O35" s="12">
        <v>0.4</v>
      </c>
      <c r="AP35" s="22"/>
      <c r="AQ35" s="11" t="s">
        <v>233</v>
      </c>
      <c r="AR35" s="6" t="s">
        <v>64</v>
      </c>
      <c r="AS35" s="2" t="s">
        <v>72</v>
      </c>
      <c r="AT35" s="7" t="s">
        <v>234</v>
      </c>
      <c r="AU35" s="8" t="s">
        <v>235</v>
      </c>
      <c r="AV35" s="9" t="s">
        <v>75</v>
      </c>
      <c r="AW35" s="11" t="s">
        <v>236</v>
      </c>
      <c r="AX35" s="5" t="s">
        <v>77</v>
      </c>
      <c r="AY35" s="2" t="str">
        <f t="shared" si="0"/>
        <v>h012</v>
      </c>
      <c r="BA35" s="11" t="s">
        <v>78</v>
      </c>
      <c r="BB35" s="11" t="s">
        <v>232</v>
      </c>
    </row>
    <row r="36" spans="1:54" ht="57" customHeight="1" x14ac:dyDescent="0.2">
      <c r="A36" s="11" t="s">
        <v>237</v>
      </c>
      <c r="D36" s="11">
        <v>800000</v>
      </c>
      <c r="F36" s="11">
        <v>10000</v>
      </c>
      <c r="G36" s="12">
        <v>0.4</v>
      </c>
      <c r="U36" s="18"/>
      <c r="AP36" s="22"/>
      <c r="AQ36" s="11" t="s">
        <v>238</v>
      </c>
      <c r="AR36" s="6" t="s">
        <v>64</v>
      </c>
      <c r="AS36" s="2" t="s">
        <v>72</v>
      </c>
      <c r="AT36" s="7" t="s">
        <v>239</v>
      </c>
      <c r="AU36" s="8" t="s">
        <v>240</v>
      </c>
      <c r="AV36" s="9" t="s">
        <v>75</v>
      </c>
      <c r="AW36" s="11" t="s">
        <v>241</v>
      </c>
      <c r="AX36" s="5" t="s">
        <v>77</v>
      </c>
      <c r="AY36" s="2" t="str">
        <f t="shared" si="0"/>
        <v>h013</v>
      </c>
      <c r="BA36" s="11" t="s">
        <v>78</v>
      </c>
      <c r="BB36" s="11" t="s">
        <v>237</v>
      </c>
    </row>
    <row r="37" spans="1:54" ht="57" customHeight="1" x14ac:dyDescent="0.2">
      <c r="A37" s="11" t="s">
        <v>242</v>
      </c>
      <c r="B37" s="11">
        <v>160000</v>
      </c>
      <c r="F37" s="11">
        <v>10300</v>
      </c>
      <c r="J37" s="12">
        <v>0.4</v>
      </c>
      <c r="AQ37" s="11" t="s">
        <v>243</v>
      </c>
      <c r="AR37" s="6" t="s">
        <v>64</v>
      </c>
      <c r="AS37" s="2" t="s">
        <v>72</v>
      </c>
      <c r="AT37" s="7" t="s">
        <v>244</v>
      </c>
      <c r="AU37" s="8" t="s">
        <v>245</v>
      </c>
      <c r="AV37" s="9" t="s">
        <v>75</v>
      </c>
      <c r="AW37" s="23" t="s">
        <v>246</v>
      </c>
      <c r="AX37" s="5" t="s">
        <v>77</v>
      </c>
      <c r="AY37" s="2" t="str">
        <f t="shared" si="0"/>
        <v>h014</v>
      </c>
      <c r="BA37" s="11" t="s">
        <v>78</v>
      </c>
      <c r="BB37" s="11" t="s">
        <v>242</v>
      </c>
    </row>
    <row r="38" spans="1:54" ht="57" customHeight="1" x14ac:dyDescent="0.2">
      <c r="A38" s="11" t="s">
        <v>247</v>
      </c>
      <c r="E38" s="11">
        <v>60000</v>
      </c>
      <c r="F38" s="11">
        <v>10600</v>
      </c>
      <c r="R38" s="12">
        <v>0.05</v>
      </c>
      <c r="U38" s="18"/>
      <c r="AQ38" s="11" t="s">
        <v>248</v>
      </c>
      <c r="AR38" s="6" t="s">
        <v>64</v>
      </c>
      <c r="AS38" s="2" t="s">
        <v>72</v>
      </c>
      <c r="AT38" s="7" t="s">
        <v>249</v>
      </c>
      <c r="AU38" s="8" t="s">
        <v>250</v>
      </c>
      <c r="AV38" s="9" t="s">
        <v>75</v>
      </c>
      <c r="AW38" s="11" t="s">
        <v>251</v>
      </c>
      <c r="AX38" s="5" t="s">
        <v>77</v>
      </c>
      <c r="AY38" s="2" t="str">
        <f t="shared" si="0"/>
        <v>h015</v>
      </c>
      <c r="BA38" s="11" t="s">
        <v>78</v>
      </c>
      <c r="BB38" s="11" t="s">
        <v>247</v>
      </c>
    </row>
    <row r="39" spans="1:54" ht="57" customHeight="1" x14ac:dyDescent="0.2">
      <c r="A39" s="11" t="s">
        <v>252</v>
      </c>
      <c r="F39" s="11">
        <v>10900</v>
      </c>
      <c r="H39" s="12">
        <v>0.05</v>
      </c>
      <c r="I39" s="12">
        <v>0.4</v>
      </c>
      <c r="U39" s="18"/>
      <c r="AP39" s="22"/>
      <c r="AQ39" s="11" t="s">
        <v>253</v>
      </c>
      <c r="AR39" s="6" t="s">
        <v>64</v>
      </c>
      <c r="AS39" s="2" t="s">
        <v>72</v>
      </c>
      <c r="AT39" s="7" t="s">
        <v>254</v>
      </c>
      <c r="AU39" s="8" t="s">
        <v>255</v>
      </c>
      <c r="AV39" s="9" t="s">
        <v>75</v>
      </c>
      <c r="AW39" s="11" t="s">
        <v>256</v>
      </c>
      <c r="AX39" s="5" t="s">
        <v>77</v>
      </c>
      <c r="AY39" s="2" t="str">
        <f t="shared" ref="AY39:AY62" si="1">NextId(AY38)</f>
        <v>h016</v>
      </c>
      <c r="BA39" s="11" t="s">
        <v>78</v>
      </c>
      <c r="BB39" s="11" t="s">
        <v>252</v>
      </c>
    </row>
    <row r="40" spans="1:54" ht="57" customHeight="1" x14ac:dyDescent="0.2">
      <c r="A40" s="11" t="s">
        <v>257</v>
      </c>
      <c r="F40" s="11">
        <v>11200</v>
      </c>
      <c r="K40" s="12">
        <v>0.05</v>
      </c>
      <c r="L40" s="12">
        <v>0.4</v>
      </c>
      <c r="AP40" s="22"/>
      <c r="AQ40" s="11" t="s">
        <v>258</v>
      </c>
      <c r="AR40" s="6" t="s">
        <v>64</v>
      </c>
      <c r="AS40" s="2" t="s">
        <v>72</v>
      </c>
      <c r="AT40" s="7" t="s">
        <v>259</v>
      </c>
      <c r="AU40" s="8" t="s">
        <v>260</v>
      </c>
      <c r="AV40" s="9" t="s">
        <v>75</v>
      </c>
      <c r="AW40" s="11" t="s">
        <v>261</v>
      </c>
      <c r="AX40" s="5" t="s">
        <v>77</v>
      </c>
      <c r="AY40" s="2" t="str">
        <f t="shared" si="1"/>
        <v>h017</v>
      </c>
      <c r="BA40" s="11" t="s">
        <v>78</v>
      </c>
      <c r="BB40" s="11" t="s">
        <v>257</v>
      </c>
    </row>
    <row r="41" spans="1:54" ht="57" customHeight="1" x14ac:dyDescent="0.2">
      <c r="A41" s="11" t="s">
        <v>262</v>
      </c>
      <c r="C41" s="11">
        <v>50</v>
      </c>
      <c r="F41" s="11">
        <v>11500</v>
      </c>
      <c r="Q41" s="11">
        <v>40</v>
      </c>
      <c r="AP41" s="22"/>
      <c r="AQ41" s="11" t="s">
        <v>263</v>
      </c>
      <c r="AR41" s="6" t="s">
        <v>64</v>
      </c>
      <c r="AS41" s="2" t="s">
        <v>72</v>
      </c>
      <c r="AT41" s="7" t="s">
        <v>264</v>
      </c>
      <c r="AU41" s="8" t="s">
        <v>265</v>
      </c>
      <c r="AV41" s="9" t="s">
        <v>75</v>
      </c>
      <c r="AW41" s="11" t="s">
        <v>266</v>
      </c>
      <c r="AX41" s="5" t="s">
        <v>77</v>
      </c>
      <c r="AY41" s="2" t="str">
        <f t="shared" si="1"/>
        <v>h018</v>
      </c>
      <c r="BA41" s="11" t="s">
        <v>78</v>
      </c>
      <c r="BB41" s="11" t="s">
        <v>262</v>
      </c>
    </row>
    <row r="42" spans="1:54" ht="57" customHeight="1" x14ac:dyDescent="0.2">
      <c r="A42" s="11" t="s">
        <v>267</v>
      </c>
      <c r="B42" s="11">
        <v>250000</v>
      </c>
      <c r="D42" s="11">
        <v>1300000</v>
      </c>
      <c r="E42" s="11">
        <v>65000</v>
      </c>
      <c r="F42" s="11">
        <v>11800</v>
      </c>
      <c r="M42" s="12">
        <v>0.3</v>
      </c>
      <c r="AP42" s="22"/>
      <c r="AQ42" s="11" t="s">
        <v>268</v>
      </c>
      <c r="AR42" s="6" t="s">
        <v>64</v>
      </c>
      <c r="AS42" s="2" t="s">
        <v>72</v>
      </c>
      <c r="AT42" s="7" t="s">
        <v>269</v>
      </c>
      <c r="AU42" s="8" t="s">
        <v>270</v>
      </c>
      <c r="AV42" s="9" t="s">
        <v>75</v>
      </c>
      <c r="AW42" s="11" t="s">
        <v>271</v>
      </c>
      <c r="AX42" s="5" t="s">
        <v>77</v>
      </c>
      <c r="AY42" s="2" t="str">
        <f t="shared" si="1"/>
        <v>h019</v>
      </c>
      <c r="BA42" s="11" t="s">
        <v>78</v>
      </c>
      <c r="BB42" s="11" t="s">
        <v>267</v>
      </c>
    </row>
    <row r="43" spans="1:54" ht="57" customHeight="1" x14ac:dyDescent="0.2">
      <c r="A43" s="11" t="s">
        <v>272</v>
      </c>
      <c r="E43" s="11">
        <v>70000</v>
      </c>
      <c r="F43" s="11">
        <v>12100</v>
      </c>
      <c r="T43" s="12">
        <v>0.06</v>
      </c>
      <c r="AP43" s="22"/>
      <c r="AQ43" s="11" t="s">
        <v>273</v>
      </c>
      <c r="AR43" s="6" t="s">
        <v>64</v>
      </c>
      <c r="AS43" s="2" t="s">
        <v>72</v>
      </c>
      <c r="AT43" s="7" t="s">
        <v>274</v>
      </c>
      <c r="AU43" s="8" t="s">
        <v>275</v>
      </c>
      <c r="AV43" s="9" t="s">
        <v>75</v>
      </c>
      <c r="AW43" s="11" t="s">
        <v>276</v>
      </c>
      <c r="AX43" s="5" t="s">
        <v>77</v>
      </c>
      <c r="AY43" s="2" t="str">
        <f t="shared" si="1"/>
        <v>h01A</v>
      </c>
      <c r="BA43" s="11" t="s">
        <v>78</v>
      </c>
      <c r="BB43" s="11" t="s">
        <v>272</v>
      </c>
    </row>
    <row r="44" spans="1:54" ht="57" customHeight="1" x14ac:dyDescent="0.2">
      <c r="A44" s="11" t="s">
        <v>277</v>
      </c>
      <c r="E44" s="11">
        <v>80000</v>
      </c>
      <c r="F44" s="11">
        <v>12400</v>
      </c>
      <c r="N44" s="12">
        <v>0.5</v>
      </c>
      <c r="AP44" s="22"/>
      <c r="AQ44" s="11" t="s">
        <v>278</v>
      </c>
      <c r="AR44" s="6" t="s">
        <v>64</v>
      </c>
      <c r="AS44" s="2" t="s">
        <v>72</v>
      </c>
      <c r="AT44" s="7" t="s">
        <v>279</v>
      </c>
      <c r="AU44" s="8" t="s">
        <v>280</v>
      </c>
      <c r="AV44" s="9" t="s">
        <v>75</v>
      </c>
      <c r="AW44" s="11" t="s">
        <v>281</v>
      </c>
      <c r="AX44" s="5" t="s">
        <v>77</v>
      </c>
      <c r="AY44" s="2" t="str">
        <f t="shared" si="1"/>
        <v>h01B</v>
      </c>
      <c r="BA44" s="11" t="s">
        <v>78</v>
      </c>
      <c r="BB44" s="11" t="s">
        <v>277</v>
      </c>
    </row>
    <row r="45" spans="1:54" ht="57" customHeight="1" x14ac:dyDescent="0.2">
      <c r="A45" s="11" t="s">
        <v>282</v>
      </c>
      <c r="E45" s="11">
        <v>90000</v>
      </c>
      <c r="F45" s="11">
        <v>12700</v>
      </c>
      <c r="O45" s="12">
        <v>0.5</v>
      </c>
      <c r="AP45" s="22"/>
      <c r="AQ45" s="11" t="s">
        <v>283</v>
      </c>
      <c r="AR45" s="6" t="s">
        <v>64</v>
      </c>
      <c r="AS45" s="2" t="s">
        <v>72</v>
      </c>
      <c r="AT45" s="7" t="s">
        <v>284</v>
      </c>
      <c r="AU45" s="8" t="s">
        <v>285</v>
      </c>
      <c r="AV45" s="9" t="s">
        <v>75</v>
      </c>
      <c r="AW45" s="11" t="s">
        <v>286</v>
      </c>
      <c r="AX45" s="5" t="s">
        <v>77</v>
      </c>
      <c r="AY45" s="2" t="str">
        <f t="shared" si="1"/>
        <v>h01C</v>
      </c>
      <c r="BA45" s="11" t="s">
        <v>78</v>
      </c>
      <c r="BB45" s="11" t="s">
        <v>282</v>
      </c>
    </row>
    <row r="46" spans="1:54" ht="57" customHeight="1" x14ac:dyDescent="0.2">
      <c r="A46" s="11" t="s">
        <v>287</v>
      </c>
      <c r="D46" s="11">
        <v>2000000</v>
      </c>
      <c r="F46" s="11">
        <v>13000</v>
      </c>
      <c r="G46" s="12">
        <v>0.5</v>
      </c>
      <c r="AP46" s="22"/>
      <c r="AQ46" s="11" t="s">
        <v>288</v>
      </c>
      <c r="AR46" s="6" t="s">
        <v>64</v>
      </c>
      <c r="AS46" s="2" t="s">
        <v>72</v>
      </c>
      <c r="AT46" s="7" t="s">
        <v>289</v>
      </c>
      <c r="AU46" s="8" t="s">
        <v>290</v>
      </c>
      <c r="AV46" s="9" t="s">
        <v>75</v>
      </c>
      <c r="AW46" s="11" t="s">
        <v>291</v>
      </c>
      <c r="AX46" s="5" t="s">
        <v>77</v>
      </c>
      <c r="AY46" s="2" t="str">
        <f t="shared" si="1"/>
        <v>h01D</v>
      </c>
      <c r="BA46" s="11" t="s">
        <v>78</v>
      </c>
      <c r="BB46" s="11" t="s">
        <v>287</v>
      </c>
    </row>
    <row r="47" spans="1:54" ht="57" customHeight="1" x14ac:dyDescent="0.2">
      <c r="A47" s="11" t="s">
        <v>292</v>
      </c>
      <c r="B47" s="11">
        <v>400000</v>
      </c>
      <c r="F47" s="11">
        <v>13300</v>
      </c>
      <c r="J47" s="12">
        <v>0.5</v>
      </c>
      <c r="AP47" s="22"/>
      <c r="AQ47" s="11" t="s">
        <v>293</v>
      </c>
      <c r="AR47" s="6" t="s">
        <v>64</v>
      </c>
      <c r="AS47" s="2" t="s">
        <v>72</v>
      </c>
      <c r="AT47" s="7" t="s">
        <v>294</v>
      </c>
      <c r="AU47" s="8" t="s">
        <v>295</v>
      </c>
      <c r="AV47" s="9" t="s">
        <v>75</v>
      </c>
      <c r="AW47" s="23" t="s">
        <v>296</v>
      </c>
      <c r="AX47" s="5" t="s">
        <v>77</v>
      </c>
      <c r="AY47" s="2" t="str">
        <f t="shared" si="1"/>
        <v>h01E</v>
      </c>
      <c r="BA47" s="11" t="s">
        <v>78</v>
      </c>
      <c r="BB47" s="11" t="s">
        <v>292</v>
      </c>
    </row>
    <row r="48" spans="1:54" ht="57" customHeight="1" x14ac:dyDescent="0.2">
      <c r="A48" s="11" t="s">
        <v>297</v>
      </c>
      <c r="E48" s="11">
        <v>100000</v>
      </c>
      <c r="F48" s="11">
        <v>13600</v>
      </c>
      <c r="R48" s="12">
        <v>0.06</v>
      </c>
      <c r="AP48" s="13"/>
      <c r="AQ48" s="11" t="s">
        <v>298</v>
      </c>
      <c r="AR48" s="6" t="s">
        <v>64</v>
      </c>
      <c r="AS48" s="2" t="s">
        <v>72</v>
      </c>
      <c r="AT48" s="7" t="s">
        <v>299</v>
      </c>
      <c r="AU48" s="8" t="s">
        <v>300</v>
      </c>
      <c r="AV48" s="9" t="s">
        <v>75</v>
      </c>
      <c r="AW48" s="11" t="s">
        <v>301</v>
      </c>
      <c r="AX48" s="5" t="s">
        <v>77</v>
      </c>
      <c r="AY48" s="2" t="str">
        <f t="shared" si="1"/>
        <v>h01F</v>
      </c>
      <c r="BA48" s="11" t="s">
        <v>78</v>
      </c>
      <c r="BB48" s="11" t="s">
        <v>297</v>
      </c>
    </row>
    <row r="49" spans="1:54" ht="57" customHeight="1" x14ac:dyDescent="0.2">
      <c r="A49" s="11" t="s">
        <v>302</v>
      </c>
      <c r="F49" s="11">
        <v>13900</v>
      </c>
      <c r="H49" s="12">
        <v>0.06</v>
      </c>
      <c r="I49" s="12">
        <v>0.5</v>
      </c>
      <c r="AQ49" s="11" t="s">
        <v>303</v>
      </c>
      <c r="AR49" s="6" t="s">
        <v>64</v>
      </c>
      <c r="AS49" s="2" t="s">
        <v>72</v>
      </c>
      <c r="AT49" s="7" t="s">
        <v>304</v>
      </c>
      <c r="AU49" s="8" t="s">
        <v>305</v>
      </c>
      <c r="AV49" s="9" t="s">
        <v>75</v>
      </c>
      <c r="AW49" s="11" t="s">
        <v>306</v>
      </c>
      <c r="AX49" s="5" t="s">
        <v>77</v>
      </c>
      <c r="AY49" s="2" t="str">
        <f t="shared" si="1"/>
        <v>h01G</v>
      </c>
      <c r="BA49" s="11" t="s">
        <v>78</v>
      </c>
      <c r="BB49" s="11" t="s">
        <v>302</v>
      </c>
    </row>
    <row r="50" spans="1:54" ht="57" customHeight="1" x14ac:dyDescent="0.2">
      <c r="A50" s="11" t="s">
        <v>307</v>
      </c>
      <c r="F50" s="11">
        <v>14200</v>
      </c>
      <c r="K50" s="12">
        <v>0.06</v>
      </c>
      <c r="L50" s="12">
        <v>0.5</v>
      </c>
      <c r="AP50" s="22"/>
      <c r="AQ50" s="11" t="s">
        <v>308</v>
      </c>
      <c r="AR50" s="6" t="s">
        <v>64</v>
      </c>
      <c r="AS50" s="2" t="s">
        <v>72</v>
      </c>
      <c r="AT50" s="7" t="s">
        <v>309</v>
      </c>
      <c r="AU50" s="8" t="s">
        <v>310</v>
      </c>
      <c r="AV50" s="9" t="s">
        <v>75</v>
      </c>
      <c r="AW50" s="11" t="s">
        <v>311</v>
      </c>
      <c r="AX50" s="5" t="s">
        <v>77</v>
      </c>
      <c r="AY50" s="2" t="str">
        <f t="shared" si="1"/>
        <v>h01H</v>
      </c>
      <c r="BA50" s="11" t="s">
        <v>78</v>
      </c>
      <c r="BB50" s="11" t="s">
        <v>307</v>
      </c>
    </row>
    <row r="51" spans="1:54" ht="57" customHeight="1" x14ac:dyDescent="0.2">
      <c r="A51" s="11" t="s">
        <v>312</v>
      </c>
      <c r="C51" s="11">
        <v>60</v>
      </c>
      <c r="F51" s="11">
        <v>14500</v>
      </c>
      <c r="Q51" s="11">
        <v>50</v>
      </c>
      <c r="AP51" s="22"/>
      <c r="AQ51" s="11" t="s">
        <v>313</v>
      </c>
      <c r="AR51" s="6" t="s">
        <v>64</v>
      </c>
      <c r="AS51" s="2" t="s">
        <v>72</v>
      </c>
      <c r="AT51" s="7" t="s">
        <v>314</v>
      </c>
      <c r="AU51" s="8" t="s">
        <v>315</v>
      </c>
      <c r="AV51" s="9" t="s">
        <v>75</v>
      </c>
      <c r="AW51" s="11" t="s">
        <v>316</v>
      </c>
      <c r="AX51" s="5" t="s">
        <v>77</v>
      </c>
      <c r="AY51" s="2" t="str">
        <f t="shared" si="1"/>
        <v>h01I</v>
      </c>
      <c r="BA51" s="11" t="s">
        <v>78</v>
      </c>
      <c r="BB51" s="11" t="s">
        <v>312</v>
      </c>
    </row>
    <row r="52" spans="1:54" ht="57" customHeight="1" x14ac:dyDescent="0.2">
      <c r="A52" s="11" t="s">
        <v>317</v>
      </c>
      <c r="B52" s="11">
        <v>700000</v>
      </c>
      <c r="D52" s="11">
        <v>3500000</v>
      </c>
      <c r="E52" s="11">
        <v>110000</v>
      </c>
      <c r="F52" s="11">
        <v>14800</v>
      </c>
      <c r="M52" s="12">
        <v>0.4</v>
      </c>
      <c r="AP52" s="22"/>
      <c r="AQ52" s="11" t="s">
        <v>318</v>
      </c>
      <c r="AR52" s="6" t="s">
        <v>64</v>
      </c>
      <c r="AS52" s="2" t="s">
        <v>72</v>
      </c>
      <c r="AT52" s="7" t="s">
        <v>319</v>
      </c>
      <c r="AU52" s="8" t="s">
        <v>320</v>
      </c>
      <c r="AV52" s="9" t="s">
        <v>75</v>
      </c>
      <c r="AW52" s="11" t="s">
        <v>321</v>
      </c>
      <c r="AX52" s="5" t="s">
        <v>77</v>
      </c>
      <c r="AY52" s="2" t="str">
        <f t="shared" si="1"/>
        <v>h01J</v>
      </c>
      <c r="BA52" s="11" t="s">
        <v>78</v>
      </c>
      <c r="BB52" s="11" t="s">
        <v>317</v>
      </c>
    </row>
    <row r="53" spans="1:54" ht="57" customHeight="1" x14ac:dyDescent="0.2">
      <c r="A53" s="11" t="s">
        <v>322</v>
      </c>
      <c r="E53" s="11">
        <v>115000</v>
      </c>
      <c r="F53" s="11">
        <v>15100</v>
      </c>
      <c r="T53" s="12">
        <v>7.0000000000000007E-2</v>
      </c>
      <c r="AP53" s="22"/>
      <c r="AQ53" s="11" t="s">
        <v>323</v>
      </c>
      <c r="AR53" s="6" t="s">
        <v>64</v>
      </c>
      <c r="AS53" s="2" t="s">
        <v>72</v>
      </c>
      <c r="AT53" s="7" t="s">
        <v>324</v>
      </c>
      <c r="AU53" s="8" t="s">
        <v>325</v>
      </c>
      <c r="AV53" s="9" t="s">
        <v>75</v>
      </c>
      <c r="AW53" s="11" t="s">
        <v>326</v>
      </c>
      <c r="AX53" s="5" t="s">
        <v>77</v>
      </c>
      <c r="AY53" s="2" t="str">
        <f t="shared" si="1"/>
        <v>h01K</v>
      </c>
      <c r="BA53" s="11" t="s">
        <v>78</v>
      </c>
      <c r="BB53" s="11" t="s">
        <v>322</v>
      </c>
    </row>
    <row r="54" spans="1:54" ht="57" customHeight="1" x14ac:dyDescent="0.2">
      <c r="A54" s="11" t="s">
        <v>327</v>
      </c>
      <c r="E54" s="11">
        <v>130000</v>
      </c>
      <c r="F54" s="11">
        <v>15400</v>
      </c>
      <c r="N54" s="12">
        <v>0.6</v>
      </c>
      <c r="AP54" s="22"/>
      <c r="AQ54" s="11" t="s">
        <v>328</v>
      </c>
      <c r="AR54" s="6" t="s">
        <v>64</v>
      </c>
      <c r="AS54" s="2" t="s">
        <v>72</v>
      </c>
      <c r="AT54" s="7" t="s">
        <v>329</v>
      </c>
      <c r="AU54" s="8" t="s">
        <v>330</v>
      </c>
      <c r="AV54" s="9" t="s">
        <v>75</v>
      </c>
      <c r="AW54" s="11" t="s">
        <v>331</v>
      </c>
      <c r="AX54" s="5" t="s">
        <v>77</v>
      </c>
      <c r="AY54" s="2" t="str">
        <f t="shared" si="1"/>
        <v>h01L</v>
      </c>
      <c r="BA54" s="11" t="s">
        <v>78</v>
      </c>
      <c r="BB54" s="11" t="s">
        <v>327</v>
      </c>
    </row>
    <row r="55" spans="1:54" ht="57" customHeight="1" x14ac:dyDescent="0.2">
      <c r="A55" s="11" t="s">
        <v>332</v>
      </c>
      <c r="E55" s="11">
        <v>145000</v>
      </c>
      <c r="F55" s="11">
        <v>15700</v>
      </c>
      <c r="O55" s="12">
        <v>0.6</v>
      </c>
      <c r="AP55" s="13"/>
      <c r="AQ55" s="11" t="s">
        <v>333</v>
      </c>
      <c r="AR55" s="6" t="s">
        <v>64</v>
      </c>
      <c r="AS55" s="2" t="s">
        <v>72</v>
      </c>
      <c r="AT55" s="7" t="s">
        <v>334</v>
      </c>
      <c r="AU55" s="8" t="s">
        <v>335</v>
      </c>
      <c r="AV55" s="9" t="s">
        <v>75</v>
      </c>
      <c r="AW55" s="11" t="s">
        <v>336</v>
      </c>
      <c r="AX55" s="5" t="s">
        <v>77</v>
      </c>
      <c r="AY55" s="2" t="str">
        <f t="shared" si="1"/>
        <v>h01M</v>
      </c>
      <c r="BA55" s="11" t="s">
        <v>78</v>
      </c>
      <c r="BB55" s="11" t="s">
        <v>332</v>
      </c>
    </row>
    <row r="56" spans="1:54" ht="57" customHeight="1" x14ac:dyDescent="0.2">
      <c r="A56" s="11" t="s">
        <v>337</v>
      </c>
      <c r="D56" s="11">
        <v>5000000</v>
      </c>
      <c r="F56" s="11">
        <v>16000</v>
      </c>
      <c r="G56" s="12">
        <v>0.6</v>
      </c>
      <c r="AQ56" s="11" t="s">
        <v>338</v>
      </c>
      <c r="AR56" s="6" t="s">
        <v>64</v>
      </c>
      <c r="AS56" s="2" t="s">
        <v>72</v>
      </c>
      <c r="AT56" s="7" t="s">
        <v>339</v>
      </c>
      <c r="AU56" s="8" t="s">
        <v>340</v>
      </c>
      <c r="AV56" s="9" t="s">
        <v>75</v>
      </c>
      <c r="AW56" s="11" t="s">
        <v>341</v>
      </c>
      <c r="AX56" s="5" t="s">
        <v>77</v>
      </c>
      <c r="AY56" s="2" t="str">
        <f t="shared" si="1"/>
        <v>h01N</v>
      </c>
      <c r="BA56" s="11" t="s">
        <v>78</v>
      </c>
      <c r="BB56" s="11" t="s">
        <v>337</v>
      </c>
    </row>
    <row r="57" spans="1:54" ht="57" customHeight="1" x14ac:dyDescent="0.2">
      <c r="A57" s="11" t="s">
        <v>342</v>
      </c>
      <c r="B57" s="11">
        <v>1000000</v>
      </c>
      <c r="F57" s="11">
        <v>16300</v>
      </c>
      <c r="J57" s="12">
        <v>0.6</v>
      </c>
      <c r="AQ57" s="11" t="s">
        <v>343</v>
      </c>
      <c r="AR57" s="6" t="s">
        <v>64</v>
      </c>
      <c r="AS57" s="2" t="s">
        <v>72</v>
      </c>
      <c r="AT57" s="7" t="s">
        <v>344</v>
      </c>
      <c r="AU57" s="8" t="s">
        <v>345</v>
      </c>
      <c r="AV57" s="9" t="s">
        <v>75</v>
      </c>
      <c r="AW57" s="23" t="s">
        <v>346</v>
      </c>
      <c r="AX57" s="5" t="s">
        <v>77</v>
      </c>
      <c r="AY57" s="2" t="str">
        <f t="shared" si="1"/>
        <v>h01O</v>
      </c>
      <c r="BA57" s="11" t="s">
        <v>78</v>
      </c>
      <c r="BB57" s="11" t="s">
        <v>342</v>
      </c>
    </row>
    <row r="58" spans="1:54" ht="57" customHeight="1" x14ac:dyDescent="0.2">
      <c r="A58" s="11" t="s">
        <v>347</v>
      </c>
      <c r="E58" s="11">
        <v>160000</v>
      </c>
      <c r="F58" s="11">
        <v>16600</v>
      </c>
      <c r="R58" s="12">
        <v>7.0000000000000007E-2</v>
      </c>
      <c r="AQ58" s="11" t="s">
        <v>348</v>
      </c>
      <c r="AR58" s="6" t="s">
        <v>64</v>
      </c>
      <c r="AS58" s="2" t="s">
        <v>72</v>
      </c>
      <c r="AT58" s="7" t="s">
        <v>349</v>
      </c>
      <c r="AU58" s="8" t="s">
        <v>350</v>
      </c>
      <c r="AV58" s="9" t="s">
        <v>75</v>
      </c>
      <c r="AW58" s="11" t="s">
        <v>351</v>
      </c>
      <c r="AX58" s="5" t="s">
        <v>77</v>
      </c>
      <c r="AY58" s="2" t="str">
        <f t="shared" si="1"/>
        <v>h01P</v>
      </c>
      <c r="BA58" s="11" t="s">
        <v>78</v>
      </c>
      <c r="BB58" s="11" t="s">
        <v>347</v>
      </c>
    </row>
    <row r="59" spans="1:54" ht="57" customHeight="1" x14ac:dyDescent="0.2">
      <c r="A59" s="11" t="s">
        <v>352</v>
      </c>
      <c r="F59" s="11">
        <v>16900</v>
      </c>
      <c r="H59" s="12">
        <v>7.0000000000000007E-2</v>
      </c>
      <c r="I59" s="12">
        <v>0.6</v>
      </c>
      <c r="AQ59" s="11" t="s">
        <v>353</v>
      </c>
      <c r="AR59" s="6" t="s">
        <v>64</v>
      </c>
      <c r="AS59" s="2" t="s">
        <v>72</v>
      </c>
      <c r="AT59" s="7" t="s">
        <v>354</v>
      </c>
      <c r="AU59" s="8" t="s">
        <v>355</v>
      </c>
      <c r="AV59" s="9" t="s">
        <v>75</v>
      </c>
      <c r="AW59" s="11" t="s">
        <v>356</v>
      </c>
      <c r="AX59" s="5" t="s">
        <v>77</v>
      </c>
      <c r="AY59" s="2" t="str">
        <f t="shared" si="1"/>
        <v>h01Q</v>
      </c>
      <c r="BA59" s="11" t="s">
        <v>78</v>
      </c>
      <c r="BB59" s="11" t="s">
        <v>352</v>
      </c>
    </row>
    <row r="60" spans="1:54" ht="57" customHeight="1" x14ac:dyDescent="0.2">
      <c r="A60" s="11" t="s">
        <v>357</v>
      </c>
      <c r="F60" s="11">
        <v>17200</v>
      </c>
      <c r="K60" s="12">
        <v>7.0000000000000007E-2</v>
      </c>
      <c r="L60" s="12">
        <v>0.6</v>
      </c>
      <c r="AQ60" s="11" t="s">
        <v>358</v>
      </c>
      <c r="AR60" s="6" t="s">
        <v>64</v>
      </c>
      <c r="AS60" s="2" t="s">
        <v>72</v>
      </c>
      <c r="AT60" s="7" t="s">
        <v>359</v>
      </c>
      <c r="AU60" s="8" t="s">
        <v>360</v>
      </c>
      <c r="AV60" s="9" t="s">
        <v>75</v>
      </c>
      <c r="AW60" s="11" t="s">
        <v>361</v>
      </c>
      <c r="AX60" s="5" t="s">
        <v>77</v>
      </c>
      <c r="AY60" s="2" t="str">
        <f t="shared" si="1"/>
        <v>h01R</v>
      </c>
      <c r="BA60" s="11" t="s">
        <v>78</v>
      </c>
      <c r="BB60" s="11" t="s">
        <v>357</v>
      </c>
    </row>
    <row r="61" spans="1:54" ht="57" customHeight="1" x14ac:dyDescent="0.2">
      <c r="A61" s="11" t="s">
        <v>362</v>
      </c>
      <c r="C61" s="11">
        <v>70</v>
      </c>
      <c r="F61" s="11">
        <v>17500</v>
      </c>
      <c r="Q61" s="11">
        <v>60</v>
      </c>
      <c r="AQ61" s="11" t="s">
        <v>363</v>
      </c>
      <c r="AR61" s="6" t="s">
        <v>64</v>
      </c>
      <c r="AS61" s="2" t="s">
        <v>72</v>
      </c>
      <c r="AT61" s="7" t="s">
        <v>364</v>
      </c>
      <c r="AU61" s="8" t="s">
        <v>365</v>
      </c>
      <c r="AV61" s="9" t="s">
        <v>75</v>
      </c>
      <c r="AW61" s="11" t="s">
        <v>366</v>
      </c>
      <c r="AX61" s="5" t="s">
        <v>77</v>
      </c>
      <c r="AY61" s="2" t="str">
        <f t="shared" si="1"/>
        <v>h01S</v>
      </c>
      <c r="BA61" s="11" t="s">
        <v>78</v>
      </c>
      <c r="BB61" s="11" t="s">
        <v>362</v>
      </c>
    </row>
    <row r="62" spans="1:54" ht="57" customHeight="1" x14ac:dyDescent="0.2">
      <c r="A62" s="11" t="s">
        <v>367</v>
      </c>
      <c r="B62" s="11">
        <v>2000000</v>
      </c>
      <c r="D62" s="11">
        <v>10000000</v>
      </c>
      <c r="E62" s="11">
        <v>200000</v>
      </c>
      <c r="F62" s="11">
        <v>17800</v>
      </c>
      <c r="M62" s="12">
        <v>0.5</v>
      </c>
      <c r="AQ62" s="11" t="s">
        <v>368</v>
      </c>
      <c r="AR62" s="6" t="s">
        <v>64</v>
      </c>
      <c r="AS62" s="2" t="s">
        <v>72</v>
      </c>
      <c r="AT62" s="7" t="s">
        <v>369</v>
      </c>
      <c r="AU62" s="8" t="s">
        <v>370</v>
      </c>
      <c r="AV62" s="9" t="s">
        <v>75</v>
      </c>
      <c r="AW62" s="11" t="s">
        <v>371</v>
      </c>
      <c r="AX62" s="5" t="s">
        <v>77</v>
      </c>
      <c r="AY62" s="2" t="str">
        <f t="shared" si="1"/>
        <v>h01T</v>
      </c>
      <c r="BA62" s="11" t="s">
        <v>78</v>
      </c>
      <c r="BB62" s="11" t="s">
        <v>367</v>
      </c>
    </row>
    <row r="63" spans="1:54" ht="18" customHeight="1" x14ac:dyDescent="0.2">
      <c r="M63" s="15"/>
      <c r="AX63" s="11"/>
    </row>
    <row r="64" spans="1:54" ht="18" customHeight="1" x14ac:dyDescent="0.2">
      <c r="M64" s="15"/>
      <c r="AX64" s="11"/>
    </row>
    <row r="65" spans="13:50" ht="18" customHeight="1" x14ac:dyDescent="0.2">
      <c r="M65" s="15"/>
      <c r="AX65" s="11"/>
    </row>
    <row r="66" spans="13:50" ht="18" customHeight="1" x14ac:dyDescent="0.2">
      <c r="M66" s="15"/>
      <c r="AX66" s="11"/>
    </row>
    <row r="67" spans="13:50" ht="18" customHeight="1" x14ac:dyDescent="0.2">
      <c r="M67" s="15"/>
      <c r="AX67" s="11"/>
    </row>
    <row r="68" spans="13:50" ht="18" customHeight="1" x14ac:dyDescent="0.2">
      <c r="M68" s="15"/>
      <c r="AX68" s="11"/>
    </row>
    <row r="69" spans="13:50" ht="18" customHeight="1" x14ac:dyDescent="0.2">
      <c r="M69" s="15"/>
      <c r="AX69" s="11"/>
    </row>
    <row r="70" spans="13:50" ht="18" customHeight="1" x14ac:dyDescent="0.2">
      <c r="M70" s="15"/>
      <c r="AX70" s="11"/>
    </row>
    <row r="71" spans="13:50" ht="18" customHeight="1" x14ac:dyDescent="0.2">
      <c r="M71" s="15"/>
      <c r="AX71" s="11"/>
    </row>
    <row r="72" spans="13:50" ht="18" customHeight="1" x14ac:dyDescent="0.2">
      <c r="M72" s="15"/>
      <c r="AX72" s="11"/>
    </row>
    <row r="73" spans="13:50" ht="18" customHeight="1" x14ac:dyDescent="0.2">
      <c r="M73" s="15"/>
      <c r="AX73" s="11"/>
    </row>
    <row r="74" spans="13:50" ht="18" customHeight="1" x14ac:dyDescent="0.2">
      <c r="M74" s="15"/>
      <c r="AX74" s="11"/>
    </row>
    <row r="75" spans="13:50" ht="18" customHeight="1" x14ac:dyDescent="0.2">
      <c r="M75" s="15"/>
      <c r="AX75" s="11"/>
    </row>
    <row r="76" spans="13:50" ht="18" customHeight="1" x14ac:dyDescent="0.2">
      <c r="M76" s="15"/>
      <c r="AX76" s="11"/>
    </row>
    <row r="77" spans="13:50" ht="18" customHeight="1" x14ac:dyDescent="0.2">
      <c r="M77" s="15"/>
      <c r="AX77" s="11"/>
    </row>
    <row r="78" spans="13:50" ht="18" customHeight="1" x14ac:dyDescent="0.2">
      <c r="M78" s="15"/>
      <c r="AX78" s="11"/>
    </row>
    <row r="79" spans="13:50" ht="18" customHeight="1" x14ac:dyDescent="0.2">
      <c r="M79" s="15"/>
      <c r="AX79" s="11"/>
    </row>
    <row r="80" spans="13:50" ht="18" customHeight="1" x14ac:dyDescent="0.2">
      <c r="M80" s="15"/>
      <c r="AX80" s="11"/>
    </row>
    <row r="81" spans="13:50" ht="18" customHeight="1" x14ac:dyDescent="0.2">
      <c r="M81" s="15"/>
      <c r="AX81" s="11"/>
    </row>
    <row r="82" spans="13:50" ht="18" customHeight="1" x14ac:dyDescent="0.2">
      <c r="M82" s="15"/>
      <c r="AX82" s="11"/>
    </row>
    <row r="83" spans="13:50" ht="18" customHeight="1" x14ac:dyDescent="0.2">
      <c r="M83" s="15"/>
      <c r="AX83" s="11"/>
    </row>
    <row r="84" spans="13:50" ht="18" customHeight="1" x14ac:dyDescent="0.2">
      <c r="M84" s="15"/>
      <c r="AX84" s="11"/>
    </row>
  </sheetData>
  <phoneticPr fontId="15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简述</vt:lpstr>
      <vt:lpstr>职业数据</vt:lpstr>
      <vt:lpstr>药水参数</vt:lpstr>
      <vt:lpstr>无尽狂潮</vt:lpstr>
      <vt:lpstr>ZXRW</vt:lpstr>
      <vt:lpstr>导出路径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</dc:creator>
  <cp:lastModifiedBy>破 破</cp:lastModifiedBy>
  <dcterms:created xsi:type="dcterms:W3CDTF">2019-04-08T10:49:00Z</dcterms:created>
  <dcterms:modified xsi:type="dcterms:W3CDTF">2024-08-24T02:09:45Z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A939466CCCF24F2A8341489E5E39920A_12</vt:lpwstr>
  </property>
  <property fmtid="{D5CDD505-2E9C-101B-9397-08002B2CF9AE}" pid="3" name="KSOProductBuildVer">
    <vt:lpwstr>2052-11.1.0.14309</vt:lpwstr>
  </property>
</Properties>
</file>